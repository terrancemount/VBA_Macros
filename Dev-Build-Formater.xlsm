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05" windowWidth="27960" windowHeight="11985" activeTab="6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  <sheet name="Sheet1" sheetId="14" r:id="rId10"/>
  </sheets>
  <functionGroups builtInGroupCount="17"/>
  <definedNames>
    <definedName name="_xlnm._FilterDatabase" localSheetId="1" hidden="1">LabDataFormat!$A$1:$E$13</definedName>
  </definedNames>
  <calcPr calcId="145621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<sst xmlns="http://schemas.openxmlformats.org/spreadsheetml/2006/main" count="1273" uniqueCount="503">
  <si>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</si>
  <si>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</si>
  <si>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</si>
  <si>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</si>
  <si>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</si>
  <si>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</si>
  <si>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</si>
  <si>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</si>
  <si>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</si>
  <si>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</si>
  <si>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</si>
  <si>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</si>
  <si>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</si>
  <si>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</si>
  <si>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</si>
  <si>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</si>
  <si>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</si>
  <si>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</si>
  <si>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</si>
  <si>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</si>
  <si>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</si>
  <si>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</si>
  <si>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</si>
  <si>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</si>
  <si>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</si>
  <si>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</si>
  <si>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</si>
  <si>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</si>
  <si>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</si>
  <si>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</si>
  <si>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</si>
  <si>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</si>
  <si>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</si>
  <si>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</si>
  <si>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</si>
  <si>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</si>
  <si>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</si>
  <si>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</si>
  <si>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</si>
  <si>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</si>
  <si>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</si>
  <si>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</si>
  <si>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</si>
  <si>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</si>
  <si>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</si>
  <si>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</si>
  <si>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</si>
  <si>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</si>
  <si>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</si>
  <si>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</si>
  <si>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</si>
  <si>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</si>
  <si>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</si>
  <si>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</si>
  <si>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</si>
  <si>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</si>
  <si>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</si>
  <si>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</si>
  <si>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</si>
  <si>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</si>
  <si>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</si>
  <si>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</si>
  <si>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</si>
  <si>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</si>
  <si>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</si>
  <si>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</si>
  <si>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</si>
  <si>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</si>
  <si>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</si>
  <si>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</si>
  <si>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</si>
  <si>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</si>
  <si>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</si>
  <si>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</si>
  <si>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</si>
  <si>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</si>
  <si>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</si>
  <si>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</si>
  <si>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</si>
  <si>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</si>
  <si>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</si>
  <si>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</si>
  <si>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</si>
  <si>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</si>
  <si>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</si>
  <si>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</si>
  <si>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</si>
  <si>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</si>
  <si>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</si>
  <si>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</si>
  <si>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</si>
  <si>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</si>
  <si>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</si>
  <si>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</si>
  <si>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</si>
  <si>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</si>
  <si>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</si>
  <si>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</si>
  <si>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</si>
  <si>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</si>
  <si>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</si>
  <si>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</si>
  <si>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</si>
  <si>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</si>
  <si>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</si>
  <si>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</si>
  <si>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</si>
  <si>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</si>
  <si>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</si>
  <si>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</si>
  <si>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</si>
  <si>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</si>
  <si>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</si>
  <si>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</si>
  <si>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</si>
  <si>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</si>
  <si>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</si>
  <si>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</si>
  <si>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</si>
  <si>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</si>
  <si>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</si>
  <si>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</si>
  <si>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</si>
  <si>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</si>
  <si>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</si>
  <si>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</si>
  <si>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</si>
  <si>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</si>
  <si>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</si>
  <si>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</si>
  <si>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</si>
  <si>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</si>
  <si>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</si>
  <si>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</si>
  <si>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</si>
  <si>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</si>
  <si>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</si>
  <si>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</si>
  <si>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</si>
  <si>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</si>
  <si>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</si>
  <si>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</si>
  <si>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</si>
  <si>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</si>
  <si>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</si>
  <si>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</si>
  <si>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</si>
  <si>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</si>
  <si>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</si>
  <si>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</si>
  <si>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</si>
  <si>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</si>
  <si>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</si>
  <si>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</si>
  <si>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</si>
  <si>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</si>
  <si>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</si>
  <si>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</si>
  <si>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</si>
  <si>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</si>
  <si>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</si>
  <si>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</si>
  <si>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</si>
  <si>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</si>
  <si>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</si>
  <si>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</si>
  <si>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</si>
  <si>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</si>
  <si>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</si>
  <si>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</si>
  <si>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</si>
  <si>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</si>
  <si>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</si>
  <si>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</si>
  <si>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</si>
  <si>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</si>
  <si>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</si>
  <si>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</si>
  <si>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</si>
  <si>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</si>
  <si>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</si>
  <si>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</si>
  <si>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</si>
  <si>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</si>
  <si>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</si>
  <si>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</si>
  <si>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</si>
  <si>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</si>
  <si>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</si>
  <si>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</si>
  <si>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</si>
  <si>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</si>
  <si>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</si>
  <si>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</si>
  <si>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</si>
  <si>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</si>
  <si>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</si>
  <si>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</si>
  <si>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</si>
  <si>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</si>
  <si>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</si>
  <si>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</si>
  <si>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</si>
  <si>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</si>
  <si>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</si>
  <si>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</si>
  <si>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</si>
  <si>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</si>
  <si>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</si>
  <si>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</si>
  <si>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</si>
  <si>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</si>
  <si>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</si>
  <si>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</si>
  <si>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</si>
  <si>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</si>
  <si>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</si>
  <si>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</si>
  <si>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</si>
  <si>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</si>
  <si>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</si>
  <si>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</si>
  <si>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</si>
  <si>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</si>
  <si>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</si>
  <si>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</si>
  <si>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</si>
  <si>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</si>
  <si>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</si>
  <si>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</si>
  <si>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</si>
  <si>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</si>
  <si>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</si>
  <si>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</si>
  <si>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</si>
  <si>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</si>
  <si>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</si>
  <si>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</si>
  <si>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</si>
  <si>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</si>
  <si>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</si>
  <si>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</si>
  <si>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</si>
  <si>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</si>
  <si>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</si>
  <si>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</si>
  <si>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</si>
  <si>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</si>
  <si>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</si>
  <si>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</si>
  <si>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</si>
  <si>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</si>
  <si>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</si>
  <si>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</si>
  <si>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</si>
  <si>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</si>
  <si>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</si>
  <si>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</si>
  <si>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</si>
  <si>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</si>
  <si>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</si>
  <si>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</si>
  <si>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</si>
  <si>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</si>
  <si>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</si>
  <si>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</si>
  <si>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</si>
  <si>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</si>
  <si>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</si>
  <si>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</si>
  <si>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</si>
  <si>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</si>
  <si>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</si>
  <si>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</si>
  <si>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</si>
  <si>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</si>
  <si>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</si>
  <si>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</si>
  <si>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</si>
  <si>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</si>
  <si>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</si>
  <si>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</si>
  <si>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</si>
  <si>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</si>
  <si>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</si>
  <si>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</si>
  <si>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</si>
  <si>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</si>
  <si>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</si>
  <si>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</si>
  <si>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</si>
  <si>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</si>
  <si>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</si>
  <si>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</si>
  <si>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</si>
  <si>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</si>
  <si>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</si>
  <si>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</si>
  <si>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</si>
  <si>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</si>
  <si>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</si>
  <si>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</si>
  <si>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</si>
  <si>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</si>
  <si>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</si>
  <si>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</si>
  <si>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</si>
  <si>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</si>
  <si>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</si>
  <si>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</si>
  <si>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</si>
  <si>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</si>
  <si>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</si>
  <si>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</si>
  <si>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</si>
  <si>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</si>
  <si>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</si>
  <si>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</si>
  <si>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</si>
  <si>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</si>
  <si>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</si>
  <si>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</si>
  <si>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</si>
  <si>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</si>
  <si>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</si>
  <si>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</si>
  <si>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</si>
  <si>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</si>
  <si>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</si>
  <si>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</si>
  <si>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</si>
  <si>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</si>
  <si>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</si>
  <si>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</si>
  <si>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</si>
  <si>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</si>
  <si>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</si>
  <si>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</si>
  <si>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</si>
  <si>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</si>
  <si>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</si>
  <si>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</si>
  <si>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</si>
  <si>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</si>
  <si>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</si>
  <si>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</si>
  <si>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</si>
  <si>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</si>
  <si>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</si>
  <si>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</si>
  <si>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</si>
  <si>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</si>
  <si>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</si>
  <si>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</si>
  <si>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</si>
  <si>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</si>
  <si>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</si>
  <si>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</si>
  <si>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</si>
  <si>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</si>
  <si>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</si>
  <si>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</si>
  <si>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</si>
  <si>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</si>
  <si>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</si>
  <si>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</si>
  <si>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</si>
  <si>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</si>
  <si>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</si>
  <si>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</si>
  <si>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</si>
  <si>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</si>
  <si>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</si>
  <si>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</si>
  <si>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</si>
  <si>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</si>
  <si>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</si>
  <si>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</si>
  <si>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</si>
  <si>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</si>
  <si>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</si>
  <si>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</si>
  <si>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</si>
  <si>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</si>
  <si>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</si>
  <si>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</si>
  <si>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</si>
  <si>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</si>
  <si>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</si>
  <si>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</si>
  <si>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</si>
  <si>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</si>
  <si>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</si>
  <si>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</si>
  <si>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</si>
  <si>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</si>
  <si>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</si>
  <si>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</si>
  <si>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</si>
  <si>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</si>
  <si>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</si>
  <si>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</si>
  <si>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</si>
  <si>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</si>
  <si>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</si>
  <si>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</si>
  <si>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</si>
  <si>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</si>
  <si>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</si>
  <si>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</si>
  <si>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</si>
  <si>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</si>
  <si>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</si>
  <si>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</si>
  <si>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</si>
  <si>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</si>
  <si>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</si>
  <si>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</si>
  <si>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</si>
  <si>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</si>
  <si>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</si>
  <si>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</si>
  <si>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</si>
  <si>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</si>
  <si>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</si>
  <si>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</si>
  <si>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</si>
  <si>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</si>
  <si>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</si>
  <si>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</si>
  <si>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</si>
  <si>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</si>
  <si>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</si>
  <si>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</si>
  <si>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</si>
  <si>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</si>
  <si>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</si>
  <si>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</si>
  <si>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</si>
  <si>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</si>
  <si>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</si>
  <si>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</si>
  <si>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</si>
  <si>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</si>
  <si>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</si>
  <si>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</si>
  <si>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</si>
  <si>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</si>
  <si>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</si>
  <si>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</si>
  <si>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</si>
  <si>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</si>
  <si>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</si>
  <si>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</si>
  <si>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</si>
  <si>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</si>
  <si>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</si>
  <si>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</si>
  <si>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</si>
  <si>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</si>
  <si>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</si>
  <si>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</si>
  <si>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</si>
  <si>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</si>
  <si>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</si>
  <si>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</si>
  <si>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</si>
  <si>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</si>
  <si>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</si>
  <si>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</si>
  <si>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</si>
  <si>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</si>
  <si>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</si>
  <si>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</si>
  <si>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</si>
  <si>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</si>
  <si>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</si>
  <si>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</si>
  <si>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</si>
  <si>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</si>
  <si>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</si>
  <si>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</si>
  <si>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</si>
  <si>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</si>
  <si>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</si>
  <si>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</si>
  <si>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</si>
  <si>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</si>
  <si>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</si>
  <si>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</si>
  <si>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</si>
  <si>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</si>
  <si>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</si>
  <si>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</si>
  <si>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</si>
  <si>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</si>
  <si>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</si>
  <si>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</si>
  <si>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</si>
  <si>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</si>
  <si>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</si>
  <si>
    <t>Hub UST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</si>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</sst>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5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i/>
      <u/>
      <sz val="12"/>
      <color rgb="FF000000"/>
      <name val="Times New Roman"/>
      <family val="1"/>
    </font>
    <font>
      <b/>
      <sz val="12"/>
      <color rgb="FFEAEAEA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i/>
      <sz val="12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8" fillId="0" borderId="0" xfId="0" applyFont="1" applyAlignment="1">
      <alignment vertical="center" shrinkToFit="1"/>
    </xf>
    <xf numFmtId="164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shrinkToFit="1"/>
    </xf>
    <xf numFmtId="2" fontId="28" fillId="0" borderId="0" xfId="0" applyNumberFormat="1" applyFont="1" applyAlignment="1">
      <alignment wrapText="1" shrinkToFit="1"/>
    </xf>
    <xf numFmtId="2" fontId="28" fillId="0" borderId="0" xfId="0" applyNumberFormat="1" applyFont="1" applyAlignment="1">
      <alignment vertical="center" shrinkToFit="1"/>
    </xf>
    <xf numFmtId="166" fontId="28" fillId="0" borderId="0" xfId="47" applyNumberFormat="1" applyFont="1" applyAlignment="1">
      <alignment vertical="center" shrinkToFit="1"/>
    </xf>
    <xf numFmtId="166" fontId="28" fillId="0" borderId="0" xfId="0" applyNumberFormat="1" applyFont="1" applyAlignment="1">
      <alignment vertical="center" shrinkToFit="1"/>
    </xf>
    <xf numFmtId="167" fontId="28" fillId="0" borderId="0" xfId="0" applyNumberFormat="1" applyFont="1" applyAlignment="1">
      <alignment vertical="center" shrinkToFit="1"/>
    </xf>
    <xf numFmtId="168" fontId="28" fillId="0" borderId="0" xfId="0" applyNumberFormat="1" applyFont="1" applyAlignment="1">
      <alignment vertical="center" shrinkToFit="1"/>
    </xf>
    <xf numFmtId="169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horizontal="right" shrinkToFit="1"/>
    </xf>
    <xf numFmtId="0" fontId="28" fillId="0" borderId="0" xfId="0" applyFont="1" applyAlignment="1">
      <alignment horizontal="center" shrinkToFit="1"/>
    </xf>
    <xf numFmtId="0" fontId="29" fillId="0" borderId="0" xfId="0" quotePrefix="1" applyFont="1" applyAlignment="1">
      <alignment horizontal="left" vertical="center" wrapText="1"/>
    </xf>
    <xf numFmtId="0" fontId="29" fillId="0" borderId="0" xfId="0" quotePrefix="1" applyFont="1" applyAlignment="1">
      <alignment horizontal="left" vertical="center"/>
    </xf>
    <xf numFmtId="0" fontId="30" fillId="37" borderId="0" xfId="0" applyFont="1" applyFill="1"/>
    <xf numFmtId="0" fontId="26" fillId="36" borderId="0" xfId="0" applyFont="1" applyFill="1"/>
    <xf numFmtId="0" fontId="31" fillId="38" borderId="0" xfId="0" applyFont="1" applyFill="1"/>
    <xf numFmtId="0" fontId="27" fillId="39" borderId="0" xfId="0" applyFont="1" applyFill="1"/>
    <xf numFmtId="0" fontId="26" fillId="34" borderId="0" xfId="0" applyFont="1" applyFill="1"/>
    <xf numFmtId="0" fontId="32" fillId="36" borderId="0" xfId="0" applyFont="1" applyFill="1"/>
    <xf numFmtId="0" fontId="23" fillId="40" borderId="0" xfId="0" applyFont="1" applyFill="1"/>
    <xf numFmtId="0" fontId="27" fillId="34" borderId="0" xfId="0" applyFont="1" applyFill="1"/>
    <xf numFmtId="0" fontId="33" fillId="40" borderId="0" xfId="0" applyFont="1" applyFill="1"/>
    <xf numFmtId="0" fontId="23" fillId="0" borderId="0" xfId="0" applyFont="1"/>
    <xf numFmtId="0" fontId="34" fillId="0" borderId="0" xfId="0" applyFont="1"/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workbookViewId="0">
      <selection activeCell="H21" sqref="H21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27">
        <v>0</v>
      </c>
      <c r="D28" s="27" t="e">
        <f t="shared" ref="D28:D36" si="0">LOG(C28)</f>
        <v>#NUM!</v>
      </c>
    </row>
    <row r="29" spans="3:4" x14ac:dyDescent="0.25">
      <c r="C29" s="28">
        <v>1000</v>
      </c>
      <c r="D29" s="27">
        <f t="shared" si="0"/>
        <v>3</v>
      </c>
    </row>
    <row r="30" spans="3:4" x14ac:dyDescent="0.25">
      <c r="C30" s="28">
        <v>999</v>
      </c>
      <c r="D30" s="27">
        <f t="shared" si="0"/>
        <v>2.9995654882259823</v>
      </c>
    </row>
    <row r="31" spans="3:4" x14ac:dyDescent="0.25">
      <c r="C31" s="28">
        <v>100</v>
      </c>
      <c r="D31" s="27">
        <f t="shared" si="0"/>
        <v>2</v>
      </c>
    </row>
    <row r="32" spans="3:4" x14ac:dyDescent="0.25">
      <c r="C32" s="29">
        <v>99</v>
      </c>
      <c r="D32" s="27">
        <f t="shared" si="0"/>
        <v>1.9956351945975499</v>
      </c>
    </row>
    <row r="33" spans="3:4" x14ac:dyDescent="0.25">
      <c r="C33" s="30">
        <v>10</v>
      </c>
      <c r="D33" s="27">
        <f t="shared" si="0"/>
        <v>1</v>
      </c>
    </row>
    <row r="34" spans="3:4" x14ac:dyDescent="0.25">
      <c r="C34" s="31">
        <v>9</v>
      </c>
      <c r="D34" s="27">
        <f t="shared" si="0"/>
        <v>0.95424250943932487</v>
      </c>
    </row>
    <row r="35" spans="3:4" x14ac:dyDescent="0.25">
      <c r="C35" s="32">
        <v>1</v>
      </c>
      <c r="D35" s="27">
        <f t="shared" si="0"/>
        <v>0</v>
      </c>
    </row>
    <row r="36" spans="3:4" x14ac:dyDescent="0.25">
      <c r="C36" s="33">
        <v>0.99</v>
      </c>
      <c r="D36" s="27">
        <f t="shared" si="0"/>
        <v>-4.3648054024500883E-3</v>
      </c>
    </row>
    <row r="37" spans="3:4" x14ac:dyDescent="0.25">
      <c r="C37" s="34">
        <v>0.1</v>
      </c>
      <c r="D37" s="27">
        <f>LOG(C37)</f>
        <v>-1</v>
      </c>
    </row>
    <row r="38" spans="3:4" x14ac:dyDescent="0.25">
      <c r="C38" s="34">
        <v>0.11</v>
      </c>
      <c r="D38" s="27">
        <f>LOG(C38)</f>
        <v>-0.95860731484177497</v>
      </c>
    </row>
    <row r="39" spans="3:4" x14ac:dyDescent="0.25">
      <c r="C39" s="35">
        <v>9.9000000000000005E-2</v>
      </c>
      <c r="D39" s="27">
        <f>LOG(C39)</f>
        <v>-1.0043648054024501</v>
      </c>
    </row>
    <row r="40" spans="3:4" x14ac:dyDescent="0.25">
      <c r="C40" s="35">
        <v>0.01</v>
      </c>
      <c r="D40" s="27">
        <f>LOG(C40)</f>
        <v>-2</v>
      </c>
    </row>
    <row r="41" spans="3:4" x14ac:dyDescent="0.25">
      <c r="C41" s="35">
        <v>1.0999999999999999E-2</v>
      </c>
      <c r="D41" s="27">
        <f t="shared" ref="D41" si="1">LOG(C41)</f>
        <v>-1.9586073148417751</v>
      </c>
    </row>
    <row r="42" spans="3:4" x14ac:dyDescent="0.25">
      <c r="C42" s="36">
        <v>1E-3</v>
      </c>
      <c r="D42" s="27">
        <f t="shared" ref="D42:D49" si="2">LOG(C42)</f>
        <v>-3</v>
      </c>
    </row>
    <row r="43" spans="3:4" x14ac:dyDescent="0.25">
      <c r="C43" s="36">
        <v>1.1100000000000001E-3</v>
      </c>
      <c r="D43" s="27">
        <f t="shared" si="2"/>
        <v>-2.9546770212133424</v>
      </c>
    </row>
    <row r="44" spans="3:4" x14ac:dyDescent="0.25">
      <c r="C44" s="37">
        <v>1E-4</v>
      </c>
      <c r="D44" s="27">
        <f t="shared" si="2"/>
        <v>-4</v>
      </c>
    </row>
    <row r="45" spans="3:4" x14ac:dyDescent="0.25">
      <c r="C45" s="37">
        <v>1.1E-4</v>
      </c>
      <c r="D45" s="27">
        <f t="shared" si="2"/>
        <v>-3.9586073148417751</v>
      </c>
    </row>
    <row r="46" spans="3:4" x14ac:dyDescent="0.25">
      <c r="C46" s="38">
        <v>1.0000000000000001E-5</v>
      </c>
      <c r="D46" s="27">
        <f t="shared" si="2"/>
        <v>-5</v>
      </c>
    </row>
    <row r="47" spans="3:4" x14ac:dyDescent="0.25">
      <c r="C47" s="39">
        <v>1.1E-5</v>
      </c>
      <c r="D47" s="40">
        <f t="shared" si="2"/>
        <v>-4.9586073148417746</v>
      </c>
    </row>
    <row r="48" spans="3:4" x14ac:dyDescent="0.25">
      <c r="C48" s="41">
        <v>9.9999999999999995E-7</v>
      </c>
      <c r="D48" s="41">
        <f t="shared" si="2"/>
        <v>-6</v>
      </c>
    </row>
    <row r="49" spans="3:4" x14ac:dyDescent="0.25">
      <c r="C49" s="42">
        <v>1.1000000000000001E-6</v>
      </c>
      <c r="D49" s="42">
        <f t="shared" si="2"/>
        <v>-5.9586073148417746</v>
      </c>
    </row>
    <row r="50" spans="3:4" x14ac:dyDescent="0.25">
      <c r="C50" s="42">
        <v>9.9999999999999995E-8</v>
      </c>
      <c r="D50" s="42">
        <f t="shared" ref="D50:D51" si="3">LOG(C50)</f>
        <v>-7</v>
      </c>
    </row>
    <row r="51" spans="3:4" x14ac:dyDescent="0.25">
      <c r="C51" s="42">
        <v>1.1000000000000001E-7</v>
      </c>
      <c r="D51" s="42">
        <f t="shared" si="3"/>
        <v>-6.9586073148417746</v>
      </c>
    </row>
    <row r="52" spans="3:4" x14ac:dyDescent="0.25">
      <c r="C52" s="42"/>
      <c r="D52" s="4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13"/>
  <sheetViews>
    <sheetView workbookViewId="0">
      <selection activeCell="D17" sqref="D17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s="24" customFormat="1" x14ac:dyDescent="0.25">
      <c r="A2" s="18" t="s">
        <v>458</v>
      </c>
      <c r="B2" s="24" t="s">
        <v>501</v>
      </c>
      <c r="C2" s="18" t="s">
        <v>499</v>
      </c>
      <c r="D2" s="18" t="s">
        <v>444</v>
      </c>
      <c r="E2" s="47" t="s">
        <v>437</v>
      </c>
    </row>
    <row r="3" spans="1:5" s="24" customFormat="1" x14ac:dyDescent="0.25">
      <c r="A3" s="18" t="s">
        <v>459</v>
      </c>
      <c r="B3" s="24" t="s">
        <v>501</v>
      </c>
      <c r="C3" s="18" t="s">
        <v>499</v>
      </c>
      <c r="D3" s="18" t="s">
        <v>443</v>
      </c>
      <c r="E3" s="48" t="s">
        <v>437</v>
      </c>
    </row>
    <row r="4" spans="1:5" s="24" customFormat="1" x14ac:dyDescent="0.25">
      <c r="A4" s="18" t="s">
        <v>456</v>
      </c>
      <c r="B4" s="24" t="s">
        <v>501</v>
      </c>
      <c r="C4" s="18" t="s">
        <v>454</v>
      </c>
      <c r="D4" s="18" t="s">
        <v>444</v>
      </c>
      <c r="E4" s="51" t="s">
        <v>437</v>
      </c>
    </row>
    <row r="5" spans="1:5" s="24" customFormat="1" x14ac:dyDescent="0.25">
      <c r="A5" s="18" t="s">
        <v>457</v>
      </c>
      <c r="B5" s="24" t="s">
        <v>501</v>
      </c>
      <c r="C5" s="18" t="s">
        <v>454</v>
      </c>
      <c r="D5" s="18" t="s">
        <v>443</v>
      </c>
      <c r="E5" s="50" t="s">
        <v>437</v>
      </c>
    </row>
    <row r="6" spans="1:5" x14ac:dyDescent="0.25">
      <c r="A6" s="18" t="s">
        <v>458</v>
      </c>
      <c r="B6" s="24" t="s">
        <v>447</v>
      </c>
      <c r="C6" s="18" t="s">
        <v>499</v>
      </c>
      <c r="D6" s="18" t="s">
        <v>444</v>
      </c>
      <c r="E6" s="43" t="s">
        <v>437</v>
      </c>
    </row>
    <row r="7" spans="1:5" x14ac:dyDescent="0.25">
      <c r="A7" s="18" t="s">
        <v>459</v>
      </c>
      <c r="B7" s="24" t="s">
        <v>447</v>
      </c>
      <c r="C7" s="18" t="s">
        <v>499</v>
      </c>
      <c r="D7" s="18" t="s">
        <v>443</v>
      </c>
      <c r="E7" s="44" t="s">
        <v>437</v>
      </c>
    </row>
    <row r="8" spans="1:5" x14ac:dyDescent="0.25">
      <c r="A8" s="18" t="s">
        <v>456</v>
      </c>
      <c r="B8" s="24" t="s">
        <v>447</v>
      </c>
      <c r="C8" s="18" t="s">
        <v>454</v>
      </c>
      <c r="D8" s="18" t="s">
        <v>444</v>
      </c>
      <c r="E8" s="45" t="s">
        <v>437</v>
      </c>
    </row>
    <row r="9" spans="1:5" x14ac:dyDescent="0.25">
      <c r="A9" s="18" t="s">
        <v>457</v>
      </c>
      <c r="B9" s="24" t="s">
        <v>447</v>
      </c>
      <c r="C9" s="18" t="s">
        <v>454</v>
      </c>
      <c r="D9" s="18" t="s">
        <v>443</v>
      </c>
      <c r="E9" s="46" t="s">
        <v>437</v>
      </c>
    </row>
    <row r="10" spans="1:5" x14ac:dyDescent="0.25">
      <c r="A10" s="18" t="s">
        <v>458</v>
      </c>
      <c r="B10" s="24" t="s">
        <v>448</v>
      </c>
      <c r="C10" s="18" t="s">
        <v>499</v>
      </c>
      <c r="D10" s="18" t="s">
        <v>444</v>
      </c>
      <c r="E10" s="47" t="s">
        <v>437</v>
      </c>
    </row>
    <row r="11" spans="1:5" x14ac:dyDescent="0.25">
      <c r="A11" s="18" t="s">
        <v>459</v>
      </c>
      <c r="B11" s="24" t="s">
        <v>448</v>
      </c>
      <c r="C11" s="18" t="s">
        <v>499</v>
      </c>
      <c r="D11" s="18" t="s">
        <v>443</v>
      </c>
      <c r="E11" s="48" t="s">
        <v>437</v>
      </c>
    </row>
    <row r="12" spans="1:5" x14ac:dyDescent="0.25">
      <c r="A12" s="18" t="s">
        <v>456</v>
      </c>
      <c r="B12" s="24" t="s">
        <v>448</v>
      </c>
      <c r="C12" s="18" t="s">
        <v>454</v>
      </c>
      <c r="D12" s="18" t="s">
        <v>444</v>
      </c>
      <c r="E12" s="49" t="s">
        <v>437</v>
      </c>
    </row>
    <row r="13" spans="1:5" x14ac:dyDescent="0.25">
      <c r="A13" s="18" t="s">
        <v>457</v>
      </c>
      <c r="B13" s="24" t="s">
        <v>448</v>
      </c>
      <c r="C13" s="18" t="s">
        <v>454</v>
      </c>
      <c r="D13" s="18" t="s">
        <v>443</v>
      </c>
      <c r="E13" s="50" t="s">
        <v>437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workbookViewId="0">
      <selection activeCell="F19" sqref="F19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workbookViewId="0">
      <selection activeCell="D26" sqref="D26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5">
        <v>6000</v>
      </c>
      <c r="E183" s="26">
        <v>4900</v>
      </c>
      <c r="F183" s="22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topLeftCell="A111" workbookViewId="0">
      <selection activeCell="A18" sqref="A18:C18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19" t="s">
        <v>366</v>
      </c>
      <c r="C183" s="20"/>
      <c r="D183" s="21" t="s">
        <v>184</v>
      </c>
    </row>
    <row r="184" spans="1:4" x14ac:dyDescent="0.25">
      <c r="A184" s="3" t="s">
        <v>432</v>
      </c>
      <c r="C184" s="1" t="s">
        <v>369</v>
      </c>
      <c r="D184" s="22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tabSelected="1" topLeftCell="A61" workbookViewId="0">
      <selection activeCell="B205" sqref="B205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4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3">
        <v>4600</v>
      </c>
      <c r="G3" s="24">
        <v>6300</v>
      </c>
      <c r="H3" s="24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3">
        <v>2300</v>
      </c>
      <c r="G4" s="24">
        <v>3100</v>
      </c>
      <c r="H4" s="24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3">
        <v>81000</v>
      </c>
      <c r="G5" s="24">
        <v>100000</v>
      </c>
      <c r="H5" s="24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3">
        <v>0.49</v>
      </c>
      <c r="G6" s="24">
        <v>0.67</v>
      </c>
      <c r="H6" s="24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3">
        <v>71</v>
      </c>
      <c r="G7" s="24">
        <v>96</v>
      </c>
      <c r="H7" s="24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3">
        <v>23000</v>
      </c>
      <c r="G8" s="24">
        <v>31000</v>
      </c>
      <c r="H8" s="24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3">
        <v>41</v>
      </c>
      <c r="G9" s="24">
        <v>55</v>
      </c>
      <c r="H9" s="24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3">
        <v>8.8000000000000007</v>
      </c>
      <c r="G10" s="24">
        <v>12</v>
      </c>
      <c r="H10" s="24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3">
        <v>20000</v>
      </c>
      <c r="G11" s="24">
        <v>25000</v>
      </c>
      <c r="H11" s="24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3">
        <v>2</v>
      </c>
      <c r="G12" s="24">
        <v>2.7</v>
      </c>
      <c r="H12" s="24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3">
        <v>770</v>
      </c>
      <c r="G13" s="24">
        <v>770</v>
      </c>
      <c r="H13" s="24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3">
        <v>11</v>
      </c>
      <c r="G14" s="24">
        <v>16</v>
      </c>
      <c r="H14" s="24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3">
        <v>0.2</v>
      </c>
      <c r="G15" s="24">
        <v>0.28000000000000003</v>
      </c>
      <c r="H15" s="24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3">
        <v>2</v>
      </c>
      <c r="G16" s="24">
        <v>2.8</v>
      </c>
      <c r="H16" s="24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3">
        <v>2300</v>
      </c>
      <c r="G17" s="24">
        <v>3100</v>
      </c>
      <c r="H17" s="24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3">
        <v>20</v>
      </c>
      <c r="G18" s="24">
        <v>28</v>
      </c>
      <c r="H18" s="24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3">
        <v>100000</v>
      </c>
      <c r="G19" s="24">
        <v>100000</v>
      </c>
      <c r="H19" s="24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3">
        <v>8200</v>
      </c>
      <c r="G20" s="24">
        <v>11000</v>
      </c>
      <c r="H20" s="24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3">
        <v>200</v>
      </c>
      <c r="G21" s="24">
        <v>270</v>
      </c>
      <c r="H21" s="24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3">
        <v>2.8</v>
      </c>
      <c r="G22" s="24">
        <v>4</v>
      </c>
      <c r="H22" s="24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3">
        <v>500</v>
      </c>
      <c r="G23" s="24">
        <v>680</v>
      </c>
      <c r="H23" s="24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3">
        <v>160</v>
      </c>
      <c r="G24" s="24">
        <v>160</v>
      </c>
      <c r="H24" s="24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3">
        <v>3.6</v>
      </c>
      <c r="G25" s="24">
        <v>5.3</v>
      </c>
      <c r="H25" s="24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3">
        <v>240</v>
      </c>
      <c r="G26" s="24">
        <v>340</v>
      </c>
      <c r="H26" s="24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3">
        <v>10</v>
      </c>
      <c r="G27" s="24">
        <v>15</v>
      </c>
      <c r="H27" s="24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3">
        <v>0.86</v>
      </c>
      <c r="G28" s="24">
        <v>1.2</v>
      </c>
      <c r="H28" s="24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3">
        <v>6500</v>
      </c>
      <c r="G29" s="24">
        <v>6500</v>
      </c>
      <c r="H29" s="24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3">
        <v>3700</v>
      </c>
      <c r="G30" s="24">
        <v>5000</v>
      </c>
      <c r="H30" s="24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3">
        <v>20</v>
      </c>
      <c r="G31" s="24">
        <v>20</v>
      </c>
      <c r="H31" s="24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3">
        <v>28</v>
      </c>
      <c r="G32" s="24">
        <v>28</v>
      </c>
      <c r="H32" s="24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3">
        <v>35</v>
      </c>
      <c r="G33" s="24">
        <v>35</v>
      </c>
      <c r="H33" s="24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3">
        <v>92</v>
      </c>
      <c r="G34" s="24">
        <v>120</v>
      </c>
      <c r="H34" s="24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3">
        <v>500</v>
      </c>
      <c r="G35" s="24">
        <v>500</v>
      </c>
      <c r="H35" s="24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3">
        <v>9.1</v>
      </c>
      <c r="G36" s="24">
        <v>13</v>
      </c>
      <c r="H36" s="24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3">
        <v>22</v>
      </c>
      <c r="G37" s="24">
        <v>29</v>
      </c>
      <c r="H37" s="24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3">
        <v>0.7</v>
      </c>
      <c r="G38" s="24">
        <v>0.95</v>
      </c>
      <c r="H38" s="24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3">
        <v>35</v>
      </c>
      <c r="G39" s="24">
        <v>47</v>
      </c>
      <c r="H39" s="24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3">
        <v>180</v>
      </c>
      <c r="G40" s="24">
        <v>180</v>
      </c>
      <c r="H40" s="24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3">
        <v>4</v>
      </c>
      <c r="G41" s="24">
        <v>5.8</v>
      </c>
      <c r="H41" s="24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3">
        <v>170</v>
      </c>
      <c r="G42" s="24">
        <v>250</v>
      </c>
      <c r="H42" s="24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3">
        <v>6200</v>
      </c>
      <c r="G43" s="24">
        <v>8400</v>
      </c>
      <c r="H43" s="24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3">
        <v>510</v>
      </c>
      <c r="G44" s="24">
        <v>680</v>
      </c>
      <c r="H44" s="24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3">
        <v>100000</v>
      </c>
      <c r="G45" s="24">
        <v>100000</v>
      </c>
      <c r="H45" s="24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3">
        <v>3.9</v>
      </c>
      <c r="G46" s="24">
        <v>4.9000000000000004</v>
      </c>
      <c r="H46" s="24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3" t="s">
        <v>367</v>
      </c>
      <c r="G47" s="24" t="s">
        <v>367</v>
      </c>
      <c r="H47" s="24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3">
        <v>200</v>
      </c>
      <c r="G48" s="24">
        <v>280</v>
      </c>
      <c r="H48" s="24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3">
        <v>4100</v>
      </c>
      <c r="G49" s="24">
        <v>5500</v>
      </c>
      <c r="H49" s="24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3">
        <v>4100</v>
      </c>
      <c r="G50" s="24">
        <v>5500</v>
      </c>
      <c r="H50" s="24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3">
        <v>4100</v>
      </c>
      <c r="G51" s="24">
        <v>5500</v>
      </c>
      <c r="H51" s="24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3">
        <v>8200</v>
      </c>
      <c r="G52" s="24">
        <v>11000</v>
      </c>
      <c r="H52" s="24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3">
        <v>54</v>
      </c>
      <c r="G53" s="24">
        <v>54</v>
      </c>
      <c r="H53" s="24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3">
        <v>34</v>
      </c>
      <c r="G54" s="24">
        <v>48</v>
      </c>
      <c r="H54" s="24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3">
        <v>77</v>
      </c>
      <c r="G55" s="24">
        <v>77</v>
      </c>
      <c r="H55" s="24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3">
        <v>29</v>
      </c>
      <c r="G56" s="24">
        <v>40</v>
      </c>
      <c r="H56" s="24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3">
        <v>25</v>
      </c>
      <c r="G57" s="24">
        <v>34</v>
      </c>
      <c r="H57" s="24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3">
        <v>24</v>
      </c>
      <c r="G58" s="24">
        <v>33</v>
      </c>
      <c r="H58" s="24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3">
        <v>0.2</v>
      </c>
      <c r="G59" s="24">
        <v>0.28000000000000003</v>
      </c>
      <c r="H59" s="24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3">
        <v>95</v>
      </c>
      <c r="G60" s="24">
        <v>130</v>
      </c>
      <c r="H60" s="24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3">
        <v>110</v>
      </c>
      <c r="G61" s="24">
        <v>140</v>
      </c>
      <c r="H61" s="24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3">
        <v>0.42</v>
      </c>
      <c r="G62" s="24">
        <v>0.62</v>
      </c>
      <c r="H62" s="24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3">
        <v>31</v>
      </c>
      <c r="G63" s="24">
        <v>45</v>
      </c>
      <c r="H63" s="24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3">
        <v>8200</v>
      </c>
      <c r="G64" s="24">
        <v>11000</v>
      </c>
      <c r="H64" s="24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3">
        <v>78</v>
      </c>
      <c r="G65" s="24">
        <v>78</v>
      </c>
      <c r="H65" s="24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3">
        <v>62</v>
      </c>
      <c r="G66" s="24">
        <v>62</v>
      </c>
      <c r="H66" s="24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3">
        <v>21</v>
      </c>
      <c r="G67" s="24">
        <v>31</v>
      </c>
      <c r="H67" s="24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3">
        <v>16</v>
      </c>
      <c r="G68" s="24">
        <v>21</v>
      </c>
      <c r="H68" s="24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3">
        <v>150</v>
      </c>
      <c r="G69" s="24">
        <v>220</v>
      </c>
      <c r="H69" s="24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3">
        <v>46</v>
      </c>
      <c r="G70" s="24">
        <v>67</v>
      </c>
      <c r="H70" s="24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3">
        <v>5.5</v>
      </c>
      <c r="G71" s="24">
        <v>7.9</v>
      </c>
      <c r="H71" s="24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3">
        <v>330</v>
      </c>
      <c r="G72" s="24">
        <v>480</v>
      </c>
      <c r="H72" s="24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3">
        <v>200</v>
      </c>
      <c r="G73" s="24">
        <v>270</v>
      </c>
      <c r="H73" s="24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3">
        <v>960</v>
      </c>
      <c r="G74" s="24">
        <v>960</v>
      </c>
      <c r="H74" s="24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3">
        <v>250</v>
      </c>
      <c r="G75" s="24">
        <v>330</v>
      </c>
      <c r="H75" s="24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3">
        <v>910</v>
      </c>
      <c r="G76" s="24">
        <v>1200</v>
      </c>
      <c r="H76" s="24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3">
        <v>11</v>
      </c>
      <c r="G77" s="24">
        <v>16</v>
      </c>
      <c r="H77" s="24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3">
        <v>21</v>
      </c>
      <c r="G78" s="24">
        <v>29</v>
      </c>
      <c r="H78" s="24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3">
        <v>0.44</v>
      </c>
      <c r="G79" s="24">
        <v>0.59</v>
      </c>
      <c r="H79" s="24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3">
        <v>66000</v>
      </c>
      <c r="G80" s="24">
        <v>88000</v>
      </c>
      <c r="H80" s="24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3">
        <v>1600</v>
      </c>
      <c r="G81" s="24">
        <v>2200</v>
      </c>
      <c r="H81" s="24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3">
        <v>66000</v>
      </c>
      <c r="G82" s="24">
        <v>88000</v>
      </c>
      <c r="H82" s="24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3">
        <v>8.1999999999999993</v>
      </c>
      <c r="G83" s="24">
        <v>11</v>
      </c>
      <c r="H83" s="24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3">
        <v>8.1999999999999993</v>
      </c>
      <c r="G84" s="24">
        <v>11</v>
      </c>
      <c r="H84" s="24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3">
        <v>8.1999999999999993</v>
      </c>
      <c r="G85" s="24">
        <v>11</v>
      </c>
      <c r="H85" s="24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3">
        <v>160</v>
      </c>
      <c r="G86" s="24">
        <v>220</v>
      </c>
      <c r="H86" s="24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3">
        <v>23</v>
      </c>
      <c r="G87" s="24">
        <v>30</v>
      </c>
      <c r="H87" s="24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3">
        <v>4.7</v>
      </c>
      <c r="G88" s="24">
        <v>6.3</v>
      </c>
      <c r="H88" s="24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3">
        <v>200</v>
      </c>
      <c r="G89" s="24">
        <v>270</v>
      </c>
      <c r="H89" s="24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3">
        <v>200</v>
      </c>
      <c r="G90" s="24">
        <v>270</v>
      </c>
      <c r="H90" s="24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3">
        <v>73</v>
      </c>
      <c r="G91" s="24">
        <v>100</v>
      </c>
      <c r="H91" s="24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3">
        <v>2000</v>
      </c>
      <c r="G92" s="24">
        <v>2800</v>
      </c>
      <c r="H92" s="24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3">
        <v>610</v>
      </c>
      <c r="G93" s="24">
        <v>820</v>
      </c>
      <c r="H93" s="24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3">
        <v>25</v>
      </c>
      <c r="G94" s="24">
        <v>33</v>
      </c>
      <c r="H94" s="24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3">
        <v>1400</v>
      </c>
      <c r="G95" s="24">
        <v>1400</v>
      </c>
      <c r="H95" s="24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3">
        <v>49</v>
      </c>
      <c r="G96" s="24">
        <v>72</v>
      </c>
      <c r="H96" s="24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3">
        <v>100000</v>
      </c>
      <c r="G97" s="24">
        <v>100000</v>
      </c>
      <c r="H97" s="24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3">
        <v>3100</v>
      </c>
      <c r="G98" s="24">
        <v>4200</v>
      </c>
      <c r="H98" s="24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3">
        <v>3100</v>
      </c>
      <c r="G99" s="24">
        <v>4200</v>
      </c>
      <c r="H99" s="24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3">
        <v>290</v>
      </c>
      <c r="G100" s="24">
        <v>430</v>
      </c>
      <c r="H100" s="24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3">
        <v>1.6</v>
      </c>
      <c r="G101" s="24">
        <v>2.2000000000000002</v>
      </c>
      <c r="H101" s="24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3">
        <v>0.86</v>
      </c>
      <c r="G102" s="24">
        <v>1.2</v>
      </c>
      <c r="H102" s="24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3">
        <v>2</v>
      </c>
      <c r="G103" s="24">
        <v>2.8</v>
      </c>
      <c r="H103" s="24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3">
        <v>3.3</v>
      </c>
      <c r="G104" s="24">
        <v>3.3</v>
      </c>
      <c r="H104" s="24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3">
        <v>1.1000000000000001</v>
      </c>
      <c r="G105" s="24">
        <v>1.5</v>
      </c>
      <c r="H105" s="24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3">
        <v>3.9</v>
      </c>
      <c r="G106" s="24">
        <v>5.3</v>
      </c>
      <c r="H106" s="24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3">
        <v>7.4</v>
      </c>
      <c r="G107" s="24">
        <v>9.9</v>
      </c>
      <c r="H107" s="24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3">
        <v>1.4</v>
      </c>
      <c r="G108" s="24">
        <v>2</v>
      </c>
      <c r="H108" s="24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3">
        <v>17</v>
      </c>
      <c r="G109" s="24">
        <v>24</v>
      </c>
      <c r="H109" s="24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3">
        <v>79</v>
      </c>
      <c r="G110" s="24">
        <v>110</v>
      </c>
      <c r="H110" s="24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3">
        <v>130</v>
      </c>
      <c r="G111" s="24">
        <v>130</v>
      </c>
      <c r="H111" s="24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3">
        <v>270</v>
      </c>
      <c r="G112" s="24">
        <v>380</v>
      </c>
      <c r="H112" s="24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3">
        <v>0.55000000000000004</v>
      </c>
      <c r="G113" s="24">
        <v>0.79</v>
      </c>
      <c r="H113" s="24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3">
        <v>2</v>
      </c>
      <c r="G114" s="24">
        <v>2.8</v>
      </c>
      <c r="H114" s="24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3">
        <v>7400</v>
      </c>
      <c r="G115" s="24">
        <v>10000</v>
      </c>
      <c r="H115" s="24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3">
        <v>9500</v>
      </c>
      <c r="G116" s="24">
        <v>14000</v>
      </c>
      <c r="H116" s="24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3">
        <v>400</v>
      </c>
      <c r="G117" s="24">
        <v>400</v>
      </c>
      <c r="H117" s="24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3">
        <v>30</v>
      </c>
      <c r="G118" s="24">
        <v>41</v>
      </c>
      <c r="H118" s="24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3">
        <v>3.1</v>
      </c>
      <c r="G119" s="24">
        <v>3.1</v>
      </c>
      <c r="H119" s="24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3">
        <v>100000</v>
      </c>
      <c r="G120" s="24">
        <v>100000</v>
      </c>
      <c r="H120" s="24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3">
        <v>410</v>
      </c>
      <c r="G121" s="24">
        <v>550</v>
      </c>
      <c r="H121" s="24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3">
        <v>23000</v>
      </c>
      <c r="G122" s="24">
        <v>23000</v>
      </c>
      <c r="H122" s="24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3">
        <v>2200</v>
      </c>
      <c r="G123" s="24">
        <v>2200</v>
      </c>
      <c r="H123" s="24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3">
        <v>10</v>
      </c>
      <c r="G124" s="24">
        <v>14</v>
      </c>
      <c r="H124" s="24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3">
        <v>670</v>
      </c>
      <c r="G125" s="24">
        <v>970</v>
      </c>
      <c r="H125" s="24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3">
        <v>460</v>
      </c>
      <c r="G126" s="24">
        <v>630</v>
      </c>
      <c r="H126" s="24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3">
        <v>68</v>
      </c>
      <c r="G127" s="24">
        <v>68</v>
      </c>
      <c r="H127" s="24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3">
        <v>310</v>
      </c>
      <c r="G128" s="24">
        <v>420</v>
      </c>
      <c r="H128" s="24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3">
        <v>29</v>
      </c>
      <c r="G129" s="24">
        <v>42</v>
      </c>
      <c r="H129" s="24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3">
        <v>2000</v>
      </c>
      <c r="G130" s="24">
        <v>2600</v>
      </c>
      <c r="H130" s="24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3">
        <v>43</v>
      </c>
      <c r="G131" s="24">
        <v>63</v>
      </c>
      <c r="H131" s="24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3">
        <v>8.1999999999999993</v>
      </c>
      <c r="G132" s="24">
        <v>11</v>
      </c>
      <c r="H132" s="24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3">
        <v>8200</v>
      </c>
      <c r="G133" s="24">
        <v>11000</v>
      </c>
      <c r="H133" s="24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3">
        <v>2.5999999999999999E-2</v>
      </c>
      <c r="G134" s="24">
        <v>3.5999999999999997E-2</v>
      </c>
      <c r="H134" s="24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3">
        <v>1</v>
      </c>
      <c r="G135" s="24">
        <v>1.4</v>
      </c>
      <c r="H135" s="24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3">
        <v>1400</v>
      </c>
      <c r="G136" s="24">
        <v>1900</v>
      </c>
      <c r="H136" s="24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3">
        <v>8.1999999999999993</v>
      </c>
      <c r="G137" s="24">
        <v>11</v>
      </c>
      <c r="H137" s="24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3">
        <v>41</v>
      </c>
      <c r="G138" s="24">
        <v>55</v>
      </c>
      <c r="H138" s="24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3">
        <v>330</v>
      </c>
      <c r="G139" s="24">
        <v>440</v>
      </c>
      <c r="H139" s="24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3">
        <v>5000</v>
      </c>
      <c r="G140" s="24">
        <v>6700</v>
      </c>
      <c r="H140" s="24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3">
        <v>820</v>
      </c>
      <c r="G141" s="24">
        <v>1100</v>
      </c>
      <c r="H141" s="24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3">
        <v>13</v>
      </c>
      <c r="G142" s="24">
        <v>18</v>
      </c>
      <c r="H142" s="24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3">
        <v>160</v>
      </c>
      <c r="G143" s="24">
        <v>220</v>
      </c>
      <c r="H143" s="24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3">
        <v>1.6</v>
      </c>
      <c r="G144" s="24">
        <v>2.2000000000000002</v>
      </c>
      <c r="H144" s="24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3">
        <v>1.6</v>
      </c>
      <c r="G145" s="24">
        <v>2.2000000000000002</v>
      </c>
      <c r="H145" s="24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3">
        <v>2300</v>
      </c>
      <c r="G146" s="24">
        <v>3100</v>
      </c>
      <c r="H146" s="24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3">
        <v>25000</v>
      </c>
      <c r="G147" s="24">
        <v>33000</v>
      </c>
      <c r="H147" s="24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3">
        <v>2</v>
      </c>
      <c r="G148" s="24">
        <v>2.7</v>
      </c>
      <c r="H148" s="24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3">
        <v>1</v>
      </c>
      <c r="G149" s="24">
        <v>1</v>
      </c>
      <c r="H149" s="24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3">
        <v>52</v>
      </c>
      <c r="G150" s="24">
        <v>52</v>
      </c>
      <c r="H150" s="24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3">
        <v>2300</v>
      </c>
      <c r="G151" s="24">
        <v>3100</v>
      </c>
      <c r="H151" s="24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3">
        <v>510</v>
      </c>
      <c r="G152" s="24">
        <v>680</v>
      </c>
      <c r="H152" s="24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3">
        <v>510</v>
      </c>
      <c r="G153" s="24">
        <v>680</v>
      </c>
      <c r="H153" s="24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3">
        <v>180</v>
      </c>
      <c r="G154" s="24">
        <v>180</v>
      </c>
      <c r="H154" s="24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3">
        <v>6.0000000000000002E-5</v>
      </c>
      <c r="G155" s="24">
        <v>8.2000000000000001E-5</v>
      </c>
      <c r="H155" s="24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3">
        <v>21</v>
      </c>
      <c r="G156" s="24">
        <v>30</v>
      </c>
      <c r="H156" s="24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3">
        <v>6.1</v>
      </c>
      <c r="G157" s="24">
        <v>8.8000000000000007</v>
      </c>
      <c r="H157" s="24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3">
        <v>68</v>
      </c>
      <c r="G158" s="24">
        <v>68</v>
      </c>
      <c r="H158" s="24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3">
        <v>200</v>
      </c>
      <c r="G159" s="24">
        <v>270</v>
      </c>
      <c r="H159" s="24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3">
        <v>1</v>
      </c>
      <c r="G160" s="24">
        <v>1.4</v>
      </c>
      <c r="H160" s="24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3">
        <v>200</v>
      </c>
      <c r="G161" s="24">
        <v>200</v>
      </c>
      <c r="H161" s="24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3">
        <v>6.4</v>
      </c>
      <c r="G162" s="24">
        <v>8.6</v>
      </c>
      <c r="H162" s="24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3">
        <v>740</v>
      </c>
      <c r="G163" s="24">
        <v>740</v>
      </c>
      <c r="H163" s="24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3">
        <v>81</v>
      </c>
      <c r="G164" s="24">
        <v>110</v>
      </c>
      <c r="H164" s="24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3">
        <v>45</v>
      </c>
      <c r="G165" s="24">
        <v>65</v>
      </c>
      <c r="H165" s="24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3">
        <v>360</v>
      </c>
      <c r="G166" s="24">
        <v>360</v>
      </c>
      <c r="H166" s="24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3">
        <v>1.6</v>
      </c>
      <c r="G167" s="24">
        <v>2.2999999999999998</v>
      </c>
      <c r="H167" s="24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3">
        <v>4.9000000000000004</v>
      </c>
      <c r="G168" s="24">
        <v>7.1</v>
      </c>
      <c r="H168" s="24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3">
        <v>980</v>
      </c>
      <c r="G169" s="24">
        <v>980</v>
      </c>
      <c r="H169" s="24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3">
        <v>8200</v>
      </c>
      <c r="G170" s="24">
        <v>11000</v>
      </c>
      <c r="H170" s="24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3">
        <v>82</v>
      </c>
      <c r="G171" s="24">
        <v>110</v>
      </c>
      <c r="H171" s="24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3">
        <v>820</v>
      </c>
      <c r="G172" s="24">
        <v>1100</v>
      </c>
      <c r="H172" s="24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3">
        <v>660</v>
      </c>
      <c r="G173" s="24">
        <v>880</v>
      </c>
      <c r="H173" s="24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3">
        <v>6.6000000000000003E-2</v>
      </c>
      <c r="G174" s="24">
        <v>8.8999999999999996E-2</v>
      </c>
      <c r="H174" s="24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3">
        <v>43</v>
      </c>
      <c r="G175" s="24">
        <v>43</v>
      </c>
      <c r="H175" s="24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3">
        <v>37</v>
      </c>
      <c r="G176" s="24">
        <v>37</v>
      </c>
      <c r="H176" s="24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3">
        <v>30</v>
      </c>
      <c r="G177" s="24">
        <v>41</v>
      </c>
      <c r="H177" s="24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3">
        <v>2900</v>
      </c>
      <c r="G178" s="24">
        <v>3900</v>
      </c>
      <c r="H178" s="24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3">
        <v>47</v>
      </c>
      <c r="G179" s="24">
        <v>64</v>
      </c>
      <c r="H179" s="24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3">
        <v>510</v>
      </c>
      <c r="G180" s="24">
        <v>680</v>
      </c>
      <c r="H180" s="24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3">
        <v>1400</v>
      </c>
      <c r="G181" s="24">
        <v>2100</v>
      </c>
      <c r="H181" s="24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3">
        <v>0.65</v>
      </c>
      <c r="G182" s="24">
        <v>0.69</v>
      </c>
      <c r="H182" s="24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3">
        <v>57</v>
      </c>
      <c r="G183" s="24">
        <v>57</v>
      </c>
      <c r="H183" s="24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3">
        <v>30000</v>
      </c>
      <c r="G184" s="24">
        <v>41000</v>
      </c>
      <c r="H184" s="24">
        <v>4900</v>
      </c>
    </row>
    <row r="185" spans="1:8" x14ac:dyDescent="0.25">
      <c r="A185" t="s">
        <v>432</v>
      </c>
      <c r="B185">
        <v>250</v>
      </c>
      <c r="F185" s="23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27" sqref="B27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26"/>
  <sheetViews>
    <sheetView workbookViewId="0">
      <selection activeCell="C16" sqref="C16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4" customFormat="1" x14ac:dyDescent="0.25">
      <c r="A2" s="24" t="s">
        <v>486</v>
      </c>
      <c r="B2" s="24" t="s">
        <v>486</v>
      </c>
      <c r="C2" s="24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4" customFormat="1" x14ac:dyDescent="0.25">
      <c r="A4" s="24" t="s">
        <v>488</v>
      </c>
      <c r="B4" s="24" t="s">
        <v>488</v>
      </c>
      <c r="C4" s="24">
        <v>1</v>
      </c>
    </row>
    <row r="5" spans="1:3" x14ac:dyDescent="0.25">
      <c r="A5" t="s">
        <v>488</v>
      </c>
      <c r="B5" t="s">
        <v>497</v>
      </c>
      <c r="C5">
        <v>1E-3</v>
      </c>
    </row>
    <row r="6" spans="1:3" x14ac:dyDescent="0.25">
      <c r="A6" s="24"/>
    </row>
    <row r="18" spans="1:2" s="24" customFormat="1" x14ac:dyDescent="0.25"/>
    <row r="20" spans="1:2" x14ac:dyDescent="0.25">
      <c r="A20" s="24"/>
      <c r="B20" s="24"/>
    </row>
    <row r="22" spans="1:2" x14ac:dyDescent="0.25">
      <c r="A22" s="24"/>
      <c r="B22" s="24"/>
    </row>
    <row r="23" spans="1:2" x14ac:dyDescent="0.25">
      <c r="A23" s="24"/>
      <c r="B23" s="24"/>
    </row>
    <row r="24" spans="1:2" x14ac:dyDescent="0.25">
      <c r="A24" s="24"/>
      <c r="B24" s="24"/>
    </row>
    <row r="25" spans="1:2" x14ac:dyDescent="0.25">
      <c r="A25" s="24"/>
      <c r="B25" s="24"/>
    </row>
    <row r="26" spans="1:2" x14ac:dyDescent="0.25">
      <c r="A26" s="24"/>
      <c r="B26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5"/>
  <sheetViews>
    <sheetView workbookViewId="0">
      <selection activeCell="N30" sqref="N30"/>
    </sheetView>
  </sheetViews>
  <sheetFormatPr defaultRowHeight="15.75" x14ac:dyDescent="0.25"/>
  <sheetData>
    <row r="4" spans="1:2" x14ac:dyDescent="0.25">
      <c r="A4" s="53">
        <v>16.25</v>
      </c>
      <c r="B4" t="s">
        <v>502</v>
      </c>
    </row>
    <row r="5" spans="1:2" x14ac:dyDescent="0.25">
      <c r="A5" s="52"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2017-12-16T01:53:49Z</dcterms:modified>
</cp:coreProperties>
</file>