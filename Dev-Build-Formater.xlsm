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585" windowWidth="27960" windowHeight="12105" activeTab="2"/>
  </bookViews>
  <sheets>
    <sheet name="Main" sheetId="13" r:id="rId1"/>
    <sheet name="LabDataFormat" sheetId="8" r:id="rId2"/>
    <sheet name="FormatGroups" sheetId="9" r:id="rId3"/>
    <sheet name="OldCombinedTestSheet" sheetId="2" r:id="rId4"/>
    <sheet name="Analyte_Name_Sets" sheetId="10" r:id="rId5"/>
    <sheet name="CAS_AnalyteName" sheetId="6" r:id="rId6"/>
    <sheet name="CAS_ActionLevel" sheetId="7" r:id="rId7"/>
    <sheet name="fraOutput" sheetId="11" r:id="rId8"/>
    <sheet name="UnitConversion" sheetId="12" r:id="rId9"/>
    <sheet name="Sheet1" sheetId="14" r:id="rId10"/>
  </sheets>
  <functionGroups builtInGroupCount="17"/>
  <definedNames>
    <definedName name="_xlnm._FilterDatabase" localSheetId="1" hidden="1">LabDataFormat!$A$1:$E$13</definedName>
  </definedNames>
  <calcPr calcId="145621"/>
</workbook>
</file>

<file path=xl/calcChain.xml><?xml version="1.0" encoding="utf-8"?>
<calcChain xmlns="http://schemas.openxmlformats.org/spreadsheetml/2006/main">
  <c r="D51" i="13" l="1"/>
  <c r="D50" i="13"/>
  <c r="D49" i="13"/>
  <c r="D48" i="13"/>
  <c r="D47" i="13"/>
  <c r="D46" i="13"/>
  <c r="D45" i="13"/>
  <c r="D44" i="13"/>
  <c r="D43" i="13"/>
  <c r="D42" i="13"/>
  <c r="D41" i="13"/>
  <c r="D40" i="13"/>
  <c r="D39" i="13"/>
  <c r="D38" i="13"/>
  <c r="D37" i="13"/>
  <c r="D36" i="13"/>
  <c r="D35" i="13"/>
  <c r="D34" i="13"/>
  <c r="D33" i="13"/>
  <c r="D32" i="13"/>
  <c r="D31" i="13"/>
  <c r="D30" i="13"/>
  <c r="D29" i="13"/>
  <c r="D28" i="13"/>
</calcChain>
</file>

<file path=xl/sharedStrings.xml><?xml version="1.0" encoding="utf-8"?>
<sst xmlns="http://schemas.openxmlformats.org/spreadsheetml/2006/main" count="1285" uniqueCount="515">
  <si>
    <t>Analyte</t>
  </si>
  <si>
    <t>SGSName</t>
  </si>
  <si>
    <t>CAS</t>
  </si>
  <si>
    <t>Acenaphthene</t>
  </si>
  <si>
    <t>Acenaphthylene</t>
  </si>
  <si>
    <t>Acetone</t>
  </si>
  <si>
    <t>Aldrin</t>
  </si>
  <si>
    <t>Ammonium Perchlorate</t>
  </si>
  <si>
    <t>Anthracene</t>
  </si>
  <si>
    <t>Antimony (metallic)</t>
  </si>
  <si>
    <t>Arsenic, Inorganic</t>
  </si>
  <si>
    <t>Barium</t>
  </si>
  <si>
    <t>Benz[a]anthracene</t>
  </si>
  <si>
    <t>Benzaldehyde</t>
  </si>
  <si>
    <t>Benzene</t>
  </si>
  <si>
    <t>Benzo[a]pyrene</t>
  </si>
  <si>
    <t>Benzo[b]fluoranthene</t>
  </si>
  <si>
    <t>Benzo[g,h,i]perylene</t>
  </si>
  <si>
    <t>Benzo[k]fluoranthene</t>
  </si>
  <si>
    <t>Benzoic Acid</t>
  </si>
  <si>
    <t>Benzyl Alcohol</t>
  </si>
  <si>
    <t>Beryllium and compounds</t>
  </si>
  <si>
    <t>Bis(2-chloroethyl)ether</t>
  </si>
  <si>
    <t>Bis(2-ethylhexyl)phthalate</t>
  </si>
  <si>
    <t>Bromobenzene</t>
  </si>
  <si>
    <t>Bromodichloromethane</t>
  </si>
  <si>
    <t>Bromoform</t>
  </si>
  <si>
    <t>Bromomethane</t>
  </si>
  <si>
    <t>Butadiene, 1,3-</t>
  </si>
  <si>
    <t>Butanol, N-</t>
  </si>
  <si>
    <t>Butyl Benzyl Phthalate</t>
  </si>
  <si>
    <t>Butylbenzene, n-</t>
  </si>
  <si>
    <t>Butylbenzene, sec-</t>
  </si>
  <si>
    <t>Butylbenzene, tert-</t>
  </si>
  <si>
    <t>Cadmium (Diet)</t>
  </si>
  <si>
    <t>Carbon Disulfide</t>
  </si>
  <si>
    <t>Carbon Tetrachloride</t>
  </si>
  <si>
    <t>Chlordane</t>
  </si>
  <si>
    <t>Chlordecone (Kepone)</t>
  </si>
  <si>
    <t>Chloroaniline, p-</t>
  </si>
  <si>
    <t>Chlorobenzene</t>
  </si>
  <si>
    <t>Chloroform</t>
  </si>
  <si>
    <t>Chloromethane</t>
  </si>
  <si>
    <t>Chloronaphthalene, Beta-</t>
  </si>
  <si>
    <t>Chlorophenol, 2-</t>
  </si>
  <si>
    <t>Chromium(III), Insoluble Salts</t>
  </si>
  <si>
    <t>Chromium(VI)</t>
  </si>
  <si>
    <t>Chromium, Total</t>
  </si>
  <si>
    <t>Chrysene</t>
  </si>
  <si>
    <t>Copper</t>
  </si>
  <si>
    <t>Cresol, m-</t>
  </si>
  <si>
    <t>Cresol, o-</t>
  </si>
  <si>
    <t>Cresol, p-</t>
  </si>
  <si>
    <t>Cumene</t>
  </si>
  <si>
    <t>Cyanide (CN-)</t>
  </si>
  <si>
    <t>Cyclohexane</t>
  </si>
  <si>
    <t>DDD</t>
  </si>
  <si>
    <t>DDE, p,p'-</t>
  </si>
  <si>
    <t>DDT</t>
  </si>
  <si>
    <t>Dibenz[a,h]anthracene</t>
  </si>
  <si>
    <t>Dibenzofuran</t>
  </si>
  <si>
    <t>Dibromochloromethane</t>
  </si>
  <si>
    <t>Dibromoethane, 1,2-</t>
  </si>
  <si>
    <t>Dibromomethane (Methylene Bromide)</t>
  </si>
  <si>
    <t>Dibutyl Phthalate</t>
  </si>
  <si>
    <t>Dichlorobenzene, 1,2-</t>
  </si>
  <si>
    <t>Dichlorobenzene, 1,3-</t>
  </si>
  <si>
    <t>Dichlorobenzene, 1,4-</t>
  </si>
  <si>
    <t>Dichlorobenzidine, 3,3'-</t>
  </si>
  <si>
    <t>Dichlorodifluoromethane</t>
  </si>
  <si>
    <t>Dichloroethane, 1,1-</t>
  </si>
  <si>
    <t>Dichloroethane, 1,2-</t>
  </si>
  <si>
    <t>Dichloroethylene, 1,1-</t>
  </si>
  <si>
    <t>Dichloroethylene, 1,2-cis-</t>
  </si>
  <si>
    <t>Dichloroethylene, 1,2-trans-</t>
  </si>
  <si>
    <t>Dichlorophenol, 2,4-</t>
  </si>
  <si>
    <t>Dichlorophenoxy Acetic Acid, 2,4-</t>
  </si>
  <si>
    <t>Dichloropropane, 1,2-</t>
  </si>
  <si>
    <t>Dichloropropene, 1,3-</t>
  </si>
  <si>
    <t>Dieldrin</t>
  </si>
  <si>
    <t>Diethyl Phthalate</t>
  </si>
  <si>
    <t>Dimethylphenol, 2,4-</t>
  </si>
  <si>
    <t>Dimethylphthalate</t>
  </si>
  <si>
    <t>Dinitrobenzene, 1,2-</t>
  </si>
  <si>
    <t>Dinitrobenzene, 1,3-</t>
  </si>
  <si>
    <t>Dinitrobenzene, 1,4-</t>
  </si>
  <si>
    <t>Dinitrophenol, 2,4-</t>
  </si>
  <si>
    <t>Dinitrotoluene, 2,4-</t>
  </si>
  <si>
    <t>Dinitrotoluene, 2,6-</t>
  </si>
  <si>
    <t>Dinitrotoluene, 2-Amino-4,6-</t>
  </si>
  <si>
    <t>Dinitrotoluene, 4-Amino-2,6-</t>
  </si>
  <si>
    <t>Dioxane, 1,4-</t>
  </si>
  <si>
    <t>Diphenylamine</t>
  </si>
  <si>
    <t>Endosulfan</t>
  </si>
  <si>
    <t>Endrin</t>
  </si>
  <si>
    <t>Ethyl Chloride</t>
  </si>
  <si>
    <t>Ethylbenzene</t>
  </si>
  <si>
    <t>Ethylene Glycol</t>
  </si>
  <si>
    <t>Fluoranthene</t>
  </si>
  <si>
    <t>Fluorene</t>
  </si>
  <si>
    <t>Formaldehyde</t>
  </si>
  <si>
    <t>Heptachlor</t>
  </si>
  <si>
    <t>Heptachlor Epoxide</t>
  </si>
  <si>
    <t>Hexachlorobenzene</t>
  </si>
  <si>
    <t>Hexachlorobutadiene</t>
  </si>
  <si>
    <t>Hexachlorocyclohexane, Alpha-</t>
  </si>
  <si>
    <t>Hexachlorocyclohexane, Beta-</t>
  </si>
  <si>
    <t>Hexachlorocyclohexane, Gamma- (Lindane)</t>
  </si>
  <si>
    <t>Hexachlorocyclopentadiene</t>
  </si>
  <si>
    <t>Hexachloroethane</t>
  </si>
  <si>
    <t>Hexahydro-1,3,5-trinitro-1,3,5-triazine (RDX)</t>
  </si>
  <si>
    <t>Hexane, N-</t>
  </si>
  <si>
    <t>Hexanone, 2-</t>
  </si>
  <si>
    <t>Hydrazine</t>
  </si>
  <si>
    <t>Indeno[1,2,3-cd]pyrene</t>
  </si>
  <si>
    <t>Isophorone</t>
  </si>
  <si>
    <t>Isopropanol</t>
  </si>
  <si>
    <t>Lead and Compounds</t>
  </si>
  <si>
    <t>Mercuric Chloride</t>
  </si>
  <si>
    <t>Mercury (elemental)</t>
  </si>
  <si>
    <t>Methanol</t>
  </si>
  <si>
    <t>Methoxychlor</t>
  </si>
  <si>
    <t>Methyl Ethyl Ketone (2-Butanone)</t>
  </si>
  <si>
    <t>Methyl Isobutyl Ketone (4-methyl-2-pentanone)</t>
  </si>
  <si>
    <t>Methyl Mercury</t>
  </si>
  <si>
    <t>Methyl tert-Butyl Ether (MTBE)</t>
  </si>
  <si>
    <t>Methylene Chloride</t>
  </si>
  <si>
    <t>Methylnaphthalene, 1-</t>
  </si>
  <si>
    <t>Methylnaphthalene, 2-</t>
  </si>
  <si>
    <t>Naphthalene</t>
  </si>
  <si>
    <t>Nickel Soluble Salts</t>
  </si>
  <si>
    <t>Nitrobenzene</t>
  </si>
  <si>
    <t>Nitroglycerin</t>
  </si>
  <si>
    <t>Nitroguanidine</t>
  </si>
  <si>
    <t>Nitrosodimethylamine, N-</t>
  </si>
  <si>
    <t>Nitroso-di-N-propylamine, N-</t>
  </si>
  <si>
    <t>Nitrosodiphenylamine, N-</t>
  </si>
  <si>
    <t>Nitrotoluene, m-</t>
  </si>
  <si>
    <t>Nitrotoluene, o-</t>
  </si>
  <si>
    <t>Nitrotoluene, p-</t>
  </si>
  <si>
    <t>Octahydro-1,3,5,7-tetranitro-1,3,5,7-tetrazocine (HMX)</t>
  </si>
  <si>
    <t>Octyl Phthalate, di-N-</t>
  </si>
  <si>
    <t>Pentachlorophenol</t>
  </si>
  <si>
    <t>Pentaerythritol tetranitrate (PETN)</t>
  </si>
  <si>
    <t>Perfluorooctane Sulfonate (PFOS)</t>
  </si>
  <si>
    <t>Perfluorooctanoic Acid (PFOA)</t>
  </si>
  <si>
    <t>Phenanthrene</t>
  </si>
  <si>
    <t>Phenol</t>
  </si>
  <si>
    <t>Phosphorus, White</t>
  </si>
  <si>
    <t>Polychlorinated Biphenyls (high risk)</t>
  </si>
  <si>
    <t>Propyl benzene</t>
  </si>
  <si>
    <t>Pyrene</t>
  </si>
  <si>
    <t>Selenium</t>
  </si>
  <si>
    <t>Silver</t>
  </si>
  <si>
    <t>Styrene</t>
  </si>
  <si>
    <t>TCDD, 2,3,7,8-</t>
  </si>
  <si>
    <t>Tetrachloroethane, 1,1,1,2-</t>
  </si>
  <si>
    <t>Tetrachloroethane, 1,1,2,2-</t>
  </si>
  <si>
    <t>Tetrachloroethylene</t>
  </si>
  <si>
    <t>Tetryl (Trinitrophenylmethylnitramine)</t>
  </si>
  <si>
    <t>Thallium (Soluble Salts)</t>
  </si>
  <si>
    <t>Toluene</t>
  </si>
  <si>
    <t>Toxaphene</t>
  </si>
  <si>
    <t>Trichloro-1,2,2-trifluoroethane, 1,1,2-</t>
  </si>
  <si>
    <t>Trichlorobenzene, 1,2,3-</t>
  </si>
  <si>
    <t>Trichlorobenzene, 1,2,4-</t>
  </si>
  <si>
    <t>Trichloroethane, 1,1,1-</t>
  </si>
  <si>
    <t>Trichloroethane, 1,1,2-</t>
  </si>
  <si>
    <t>Trichloroethylene</t>
  </si>
  <si>
    <t>Trichlorofluoromethane</t>
  </si>
  <si>
    <t>Trichlorophenol, 2,4,5-</t>
  </si>
  <si>
    <t>Trichlorophenol, 2,4,6-</t>
  </si>
  <si>
    <t>Trichlorophenoxyacetic Acid, 2,4,5-</t>
  </si>
  <si>
    <t>Trichlorophenoxypropionic acid, -2,4,5</t>
  </si>
  <si>
    <t>Trichloropropane, 1,2,3-</t>
  </si>
  <si>
    <t>Trimethylbenzene, 1,2,4-</t>
  </si>
  <si>
    <t>Trimethylbenzene, 1,3,5-</t>
  </si>
  <si>
    <t>Tri-n-butyltin</t>
  </si>
  <si>
    <t>Trinitrobenzene, 1,3,5-</t>
  </si>
  <si>
    <t>Trinitrotoluene, 2,4,6-</t>
  </si>
  <si>
    <t>Vanadium and Compounds</t>
  </si>
  <si>
    <t>Vinyl Acetate</t>
  </si>
  <si>
    <t>Vinyl Chloride</t>
  </si>
  <si>
    <t>Xylenes</t>
  </si>
  <si>
    <t>Zinc and Compounds</t>
  </si>
  <si>
    <t>83-32-9</t>
  </si>
  <si>
    <t>208-96-8</t>
  </si>
  <si>
    <t>67-64-1</t>
  </si>
  <si>
    <t>309-00-2</t>
  </si>
  <si>
    <t>7790-98-9</t>
  </si>
  <si>
    <t>120-12-7</t>
  </si>
  <si>
    <t>7440-36-0</t>
  </si>
  <si>
    <t>7440-38-2</t>
  </si>
  <si>
    <t>7440-39-3</t>
  </si>
  <si>
    <t>56-55-3</t>
  </si>
  <si>
    <t>100-52-7</t>
  </si>
  <si>
    <t>71-43-2</t>
  </si>
  <si>
    <t>50-32-8</t>
  </si>
  <si>
    <t>205-99-2</t>
  </si>
  <si>
    <t>191-24-2</t>
  </si>
  <si>
    <t>207-08-9</t>
  </si>
  <si>
    <t>65-85-0</t>
  </si>
  <si>
    <t>100-51-6</t>
  </si>
  <si>
    <t>7440-41-7</t>
  </si>
  <si>
    <t>111-44-4</t>
  </si>
  <si>
    <t>117-81-7</t>
  </si>
  <si>
    <t>108-86-1</t>
  </si>
  <si>
    <t>75-27-4</t>
  </si>
  <si>
    <t>75-25-2</t>
  </si>
  <si>
    <t>74-83-9</t>
  </si>
  <si>
    <t>106-99-0</t>
  </si>
  <si>
    <t>71-36-3</t>
  </si>
  <si>
    <t>85-68-7</t>
  </si>
  <si>
    <t>104-51-8</t>
  </si>
  <si>
    <t>135-98-8</t>
  </si>
  <si>
    <t>98-06-6</t>
  </si>
  <si>
    <t>7440-43-9</t>
  </si>
  <si>
    <t>75-15-0</t>
  </si>
  <si>
    <t>56-23-5</t>
  </si>
  <si>
    <t>12789-03-6</t>
  </si>
  <si>
    <t>143-50-0</t>
  </si>
  <si>
    <t>106-47-8</t>
  </si>
  <si>
    <t>108-90-7</t>
  </si>
  <si>
    <t>67-66-3</t>
  </si>
  <si>
    <t>74-87-3</t>
  </si>
  <si>
    <t>91-58-7</t>
  </si>
  <si>
    <t>95-57-8</t>
  </si>
  <si>
    <t>16065-83-1</t>
  </si>
  <si>
    <t>18540-29-9</t>
  </si>
  <si>
    <t>7440-47-3</t>
  </si>
  <si>
    <t>218-01-9</t>
  </si>
  <si>
    <t>7440-50-8</t>
  </si>
  <si>
    <t>108-39-4</t>
  </si>
  <si>
    <t>95-48-7</t>
  </si>
  <si>
    <t>106-44-5</t>
  </si>
  <si>
    <t>98-82-8</t>
  </si>
  <si>
    <t>57-12-5</t>
  </si>
  <si>
    <t>110-82-7</t>
  </si>
  <si>
    <t>72-54-8</t>
  </si>
  <si>
    <t>72-55-9</t>
  </si>
  <si>
    <t>50-29-3</t>
  </si>
  <si>
    <t>53-70-3</t>
  </si>
  <si>
    <t>132-64-9</t>
  </si>
  <si>
    <t>124-48-1</t>
  </si>
  <si>
    <t>106-93-4</t>
  </si>
  <si>
    <t>74-95-3</t>
  </si>
  <si>
    <t>84-74-2</t>
  </si>
  <si>
    <t>95-50-1</t>
  </si>
  <si>
    <t>541-73-1</t>
  </si>
  <si>
    <t>106-46-7</t>
  </si>
  <si>
    <t>91-94-1</t>
  </si>
  <si>
    <t>75-71-8</t>
  </si>
  <si>
    <t>75-34-3</t>
  </si>
  <si>
    <t>107-06-2</t>
  </si>
  <si>
    <t>75-35-4</t>
  </si>
  <si>
    <t>156-59-2</t>
  </si>
  <si>
    <t>156-60-5</t>
  </si>
  <si>
    <t>120-83-2</t>
  </si>
  <si>
    <t>94-75-7</t>
  </si>
  <si>
    <t>78-87-5</t>
  </si>
  <si>
    <t>542-75-6</t>
  </si>
  <si>
    <t>60-57-1</t>
  </si>
  <si>
    <t>84-66-2</t>
  </si>
  <si>
    <t>105-67-9</t>
  </si>
  <si>
    <t>131-11-3</t>
  </si>
  <si>
    <t>528-29-0</t>
  </si>
  <si>
    <t>99-65-0</t>
  </si>
  <si>
    <t>100-25-4</t>
  </si>
  <si>
    <t>51-28-5</t>
  </si>
  <si>
    <t>121-14-2</t>
  </si>
  <si>
    <t>606-20-2</t>
  </si>
  <si>
    <t>35572-78-2</t>
  </si>
  <si>
    <t>19406-51-0</t>
  </si>
  <si>
    <t>123-91-1</t>
  </si>
  <si>
    <t>122-39-4</t>
  </si>
  <si>
    <t>115-29-7</t>
  </si>
  <si>
    <t>72-20-8</t>
  </si>
  <si>
    <t>75-00-3</t>
  </si>
  <si>
    <t>100-41-4</t>
  </si>
  <si>
    <t>107-21-1</t>
  </si>
  <si>
    <t>206-44-0</t>
  </si>
  <si>
    <t>86-73-7</t>
  </si>
  <si>
    <t>50-00-0</t>
  </si>
  <si>
    <t>76-44-8</t>
  </si>
  <si>
    <t>1024-57-3</t>
  </si>
  <si>
    <t>118-74-1</t>
  </si>
  <si>
    <t>87-68-3</t>
  </si>
  <si>
    <t>319-84-6</t>
  </si>
  <si>
    <t>319-85-7</t>
  </si>
  <si>
    <t>58-89-9</t>
  </si>
  <si>
    <t>77-47-4</t>
  </si>
  <si>
    <t>67-72-1</t>
  </si>
  <si>
    <t>121-82-4</t>
  </si>
  <si>
    <t>110-54-3</t>
  </si>
  <si>
    <t>591-78-6</t>
  </si>
  <si>
    <t>302-01-2</t>
  </si>
  <si>
    <t>193-39-5</t>
  </si>
  <si>
    <t>78-59-1</t>
  </si>
  <si>
    <t>67-63-0</t>
  </si>
  <si>
    <t>7439-92-1</t>
  </si>
  <si>
    <t>7487-94-7</t>
  </si>
  <si>
    <t>7439-97-6</t>
  </si>
  <si>
    <t>67-56-1</t>
  </si>
  <si>
    <t>72-43-5</t>
  </si>
  <si>
    <t>78-93-3</t>
  </si>
  <si>
    <t>108-10-1</t>
  </si>
  <si>
    <t>22967-92-6</t>
  </si>
  <si>
    <t>1634-04-4</t>
  </si>
  <si>
    <t>75-09-2</t>
  </si>
  <si>
    <t>90-12-0</t>
  </si>
  <si>
    <t>91-57-6</t>
  </si>
  <si>
    <t>91-20-3</t>
  </si>
  <si>
    <t>7440-02-0</t>
  </si>
  <si>
    <t>98-95-3</t>
  </si>
  <si>
    <t>55-63-0</t>
  </si>
  <si>
    <t>556-88-7</t>
  </si>
  <si>
    <t>62-75-9</t>
  </si>
  <si>
    <t>621-64-7</t>
  </si>
  <si>
    <t>86-30-6</t>
  </si>
  <si>
    <t>99-08-1</t>
  </si>
  <si>
    <t>88-72-2</t>
  </si>
  <si>
    <t>99-99-0</t>
  </si>
  <si>
    <t>2691-41-0</t>
  </si>
  <si>
    <t>117-84-0</t>
  </si>
  <si>
    <t>87-86-5</t>
  </si>
  <si>
    <t>78-11-5</t>
  </si>
  <si>
    <t>1763-23-1</t>
  </si>
  <si>
    <t>335-67-1</t>
  </si>
  <si>
    <t>85-01-8</t>
  </si>
  <si>
    <t>108-95-2</t>
  </si>
  <si>
    <t>7723-14-0</t>
  </si>
  <si>
    <t>1336-36-3</t>
  </si>
  <si>
    <t>103-65-1</t>
  </si>
  <si>
    <t>129-00-0</t>
  </si>
  <si>
    <t>7782-49-2</t>
  </si>
  <si>
    <t>7440-22-4</t>
  </si>
  <si>
    <t>100-42-5</t>
  </si>
  <si>
    <t>1746-01-6</t>
  </si>
  <si>
    <t>630-20-6</t>
  </si>
  <si>
    <t>79-34-5</t>
  </si>
  <si>
    <t>127-18-4</t>
  </si>
  <si>
    <t>479-45-8</t>
  </si>
  <si>
    <t>7440-28-0</t>
  </si>
  <si>
    <t>108-88-3</t>
  </si>
  <si>
    <t>8001-35-2</t>
  </si>
  <si>
    <t>76-13-1</t>
  </si>
  <si>
    <t>87-61-6</t>
  </si>
  <si>
    <t>120-82-1</t>
  </si>
  <si>
    <t>71-55-6</t>
  </si>
  <si>
    <t>79-00-5</t>
  </si>
  <si>
    <t>79-01-6</t>
  </si>
  <si>
    <t>75-69-4</t>
  </si>
  <si>
    <t>95-95-4</t>
  </si>
  <si>
    <t>88-06-2</t>
  </si>
  <si>
    <t>93-76-5</t>
  </si>
  <si>
    <t>93-72-1</t>
  </si>
  <si>
    <t>96-18-4</t>
  </si>
  <si>
    <t>95-63-6</t>
  </si>
  <si>
    <t>108-67-8</t>
  </si>
  <si>
    <t>688-73-3</t>
  </si>
  <si>
    <t>99-35-4</t>
  </si>
  <si>
    <t>118-96-7</t>
  </si>
  <si>
    <t>7440-62-2</t>
  </si>
  <si>
    <t>108-05-4</t>
  </si>
  <si>
    <t>75-01-4</t>
  </si>
  <si>
    <t>1330-20-7</t>
  </si>
  <si>
    <t>7440-66-6</t>
  </si>
  <si>
    <t>N/A</t>
  </si>
  <si>
    <t>-</t>
  </si>
  <si>
    <t>Diesel Range Organics</t>
  </si>
  <si>
    <t>Gasoline Range Organics</t>
  </si>
  <si>
    <t>Indeno[1,2,3-c,d] pyrene</t>
  </si>
  <si>
    <t>Isopropylbenzene (Cumene)</t>
  </si>
  <si>
    <t>Methylene chloride</t>
  </si>
  <si>
    <t>Methyl-t-butyl ether</t>
  </si>
  <si>
    <t>n-Butylbenzene</t>
  </si>
  <si>
    <t>n-Propylbenzene</t>
  </si>
  <si>
    <t>sec-Butylbenzene</t>
  </si>
  <si>
    <t>tert-Butylbenzene</t>
  </si>
  <si>
    <t>Tetrachloroethene</t>
  </si>
  <si>
    <t>trans-1,2-Dichloroethene</t>
  </si>
  <si>
    <t>Trichloroethene</t>
  </si>
  <si>
    <t>Vinyl acetate</t>
  </si>
  <si>
    <t>Vinyl chloride</t>
  </si>
  <si>
    <t>Xylenes (total)</t>
  </si>
  <si>
    <t>1,1,1,2-Tetrachloroethane</t>
  </si>
  <si>
    <t>1,1,1-Trichloroethane</t>
  </si>
  <si>
    <t>1,1,2,2-Tetrachloroethane</t>
  </si>
  <si>
    <t>1,1,2-Trichloroethane</t>
  </si>
  <si>
    <t>1,1-Dichloroethane</t>
  </si>
  <si>
    <t>1,1-Dichloroethene</t>
  </si>
  <si>
    <t>1,2,3-Trichlorobenzene</t>
  </si>
  <si>
    <t>1,2,3-Trichloropropane</t>
  </si>
  <si>
    <t>1,2,4-Trichlorobenzene</t>
  </si>
  <si>
    <t>1,2,4-Trimethylbenzene</t>
  </si>
  <si>
    <t>1,2-Dibromoethane</t>
  </si>
  <si>
    <t>1,2-Dichlorobenzene</t>
  </si>
  <si>
    <t>1,2-Dichloroethane</t>
  </si>
  <si>
    <t>1,2-Dichloropropane</t>
  </si>
  <si>
    <t>1,3,5-Trimethylbenzene</t>
  </si>
  <si>
    <t>1,3-Dichlorobenzene</t>
  </si>
  <si>
    <t>1,4-Dichlorobenzene</t>
  </si>
  <si>
    <t>1-Methylnaphthalene</t>
  </si>
  <si>
    <t>2-Butanone (MEK)</t>
  </si>
  <si>
    <t>2-Hexanone</t>
  </si>
  <si>
    <t>2-Methylnaphthalene</t>
  </si>
  <si>
    <t>4-Methyl-2-pentanone (MIBK)</t>
  </si>
  <si>
    <t>Benzo(a)Anthracene</t>
  </si>
  <si>
    <t>Benzo[b]Fluoranthene</t>
  </si>
  <si>
    <t>Carbon disulfide</t>
  </si>
  <si>
    <t>Carbon tetrachloride</t>
  </si>
  <si>
    <t>Chloroethane</t>
  </si>
  <si>
    <t>cis-1,2-Dichloroethene</t>
  </si>
  <si>
    <t>Dibenzo[a,h]anthracene</t>
  </si>
  <si>
    <t>Dibromomethane</t>
  </si>
  <si>
    <t>Freon-113</t>
  </si>
  <si>
    <t>4,4'-DDD</t>
  </si>
  <si>
    <t>4,4'-DDE</t>
  </si>
  <si>
    <t>4,4'-DDT</t>
  </si>
  <si>
    <t>alpha-BHC</t>
  </si>
  <si>
    <t>Arsenic</t>
  </si>
  <si>
    <t>beta-BHC</t>
  </si>
  <si>
    <t>Cadmium</t>
  </si>
  <si>
    <t>Chromium</t>
  </si>
  <si>
    <t>gamma-BHC (Lindane)</t>
  </si>
  <si>
    <t>Heptachlor epoxide</t>
  </si>
  <si>
    <t>Lead</t>
  </si>
  <si>
    <t>Mercury</t>
  </si>
  <si>
    <t>Nickel</t>
  </si>
  <si>
    <t>Vanadium</t>
  </si>
  <si>
    <t>Residual Range Organics</t>
  </si>
  <si>
    <t>2016 Migration of ground water</t>
  </si>
  <si>
    <t>DRO</t>
  </si>
  <si>
    <t>RRO</t>
  </si>
  <si>
    <t>GRO</t>
  </si>
  <si>
    <t>1,3-Dichloropropene</t>
  </si>
  <si>
    <t>Non ADEC Numbers</t>
  </si>
  <si>
    <t>The quick brown fox</t>
  </si>
  <si>
    <t>2016 Human Health over 40"</t>
  </si>
  <si>
    <t>2016 Groundwater</t>
  </si>
  <si>
    <t xml:space="preserve"> </t>
  </si>
  <si>
    <t>FormatName</t>
  </si>
  <si>
    <t>Lab Qualifier</t>
  </si>
  <si>
    <t>Below</t>
  </si>
  <si>
    <t>Above</t>
  </si>
  <si>
    <t>Group</t>
  </si>
  <si>
    <t>Black &amp; White</t>
  </si>
  <si>
    <t>Larry's Preset</t>
  </si>
  <si>
    <t>Shayla's Preset</t>
  </si>
  <si>
    <t>Default</t>
  </si>
  <si>
    <t>GroupName</t>
  </si>
  <si>
    <t>New Group</t>
  </si>
  <si>
    <t>New Group Name</t>
  </si>
  <si>
    <t>Andy's Presets</t>
  </si>
  <si>
    <t>*</t>
  </si>
  <si>
    <t>My New Group</t>
  </si>
  <si>
    <t>Lab Hit Above AL</t>
  </si>
  <si>
    <t>Lab Hit Below AL</t>
  </si>
  <si>
    <t>Lab Non Detect Above AL</t>
  </si>
  <si>
    <t>Lab Non Detect Below AL</t>
  </si>
  <si>
    <t>Format Cell</t>
  </si>
  <si>
    <t>SGS USA</t>
  </si>
  <si>
    <t>ADEC</t>
  </si>
  <si>
    <t>Analyte Names Sets</t>
  </si>
  <si>
    <t>Instructions</t>
  </si>
  <si>
    <t>output options combox</t>
  </si>
  <si>
    <t>All Analytes</t>
  </si>
  <si>
    <t>Matched Analytes</t>
  </si>
  <si>
    <t>Unmatched Analytes</t>
  </si>
  <si>
    <t>Errors</t>
  </si>
  <si>
    <t>Complete?</t>
  </si>
  <si>
    <t>Instructions (Incomplete)</t>
  </si>
  <si>
    <t>Instructions (Complete)</t>
  </si>
  <si>
    <t>Instructions (All)</t>
  </si>
  <si>
    <t>2. Open the workbook to format (opens the first worksheet in workbook).</t>
  </si>
  <si>
    <t>3. If the worksheet is not correct then select worksheet.</t>
  </si>
  <si>
    <t>4. Select the lab name set.</t>
  </si>
  <si>
    <t>5. Select the action level.</t>
  </si>
  <si>
    <t>1. Setup formating options by clicking the setup button.  (Do before trying to format)</t>
  </si>
  <si>
    <t>EMI</t>
  </si>
  <si>
    <t>Units</t>
  </si>
  <si>
    <t>Workbook</t>
  </si>
  <si>
    <t>Locals</t>
  </si>
  <si>
    <t>Worksheet</t>
  </si>
  <si>
    <t>Executables</t>
  </si>
  <si>
    <t>EMI (mg/kg)</t>
  </si>
  <si>
    <t>mg/Kg</t>
  </si>
  <si>
    <t>ADEC-2016 Groundwater (ug/L)</t>
  </si>
  <si>
    <t>ug/L</t>
  </si>
  <si>
    <t>ADEC-2016 Human Health Under 40" (mg/Kg)</t>
  </si>
  <si>
    <t>ADEC-2016 Human Health Over 40" (mg/Kg)</t>
  </si>
  <si>
    <t>ADEC-2016 Migration to ground water (mg/Kg)</t>
  </si>
  <si>
    <t>ADEC-2016 Human Health Artic Zone (mg/Kg)</t>
  </si>
  <si>
    <t>UnitDest</t>
  </si>
  <si>
    <t>UnitSource</t>
  </si>
  <si>
    <t>Factor</t>
  </si>
  <si>
    <t>ug/Kg</t>
  </si>
  <si>
    <t>mg/L</t>
  </si>
  <si>
    <t>Job# 1179607</t>
  </si>
  <si>
    <t>U</t>
  </si>
  <si>
    <t>ActionLimit</t>
  </si>
  <si>
    <t>Hub UST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</si>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</sst>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(* #,##0.00_);_(* \(#,##0.00\);_(* &quot;-&quot;??_);_(@_)"/>
    <numFmt numFmtId="164" formatCode="#,###"/>
    <numFmt numFmtId="165" formatCode="00.0"/>
    <numFmt numFmtId="166" formatCode="0.000"/>
    <numFmt numFmtId="167" formatCode="0.0000"/>
    <numFmt numFmtId="168" formatCode="0.00000"/>
    <numFmt numFmtId="169" formatCode="0.000000"/>
    <numFmt numFmtId="170" formatCode="0.0000000"/>
  </numFmts>
  <fonts count="35" x14ac:knownFonts="1">
    <font>
      <sz val="12"/>
      <color theme="1"/>
      <name val="Times New Roman"/>
      <family val="2"/>
    </font>
    <font>
      <sz val="12"/>
      <color theme="1"/>
      <name val="Times New Roman"/>
      <family val="2"/>
    </font>
    <font>
      <b/>
      <sz val="15"/>
      <color theme="3"/>
      <name val="Times New Roman"/>
      <family val="2"/>
    </font>
    <font>
      <b/>
      <sz val="13"/>
      <color theme="3"/>
      <name val="Times New Roman"/>
      <family val="2"/>
    </font>
    <font>
      <b/>
      <sz val="11"/>
      <color theme="3"/>
      <name val="Times New Roman"/>
      <family val="2"/>
    </font>
    <font>
      <sz val="12"/>
      <color rgb="FF006100"/>
      <name val="Times New Roman"/>
      <family val="2"/>
    </font>
    <font>
      <sz val="12"/>
      <color rgb="FF9C0006"/>
      <name val="Times New Roman"/>
      <family val="2"/>
    </font>
    <font>
      <sz val="12"/>
      <color rgb="FF9C6500"/>
      <name val="Times New Roman"/>
      <family val="2"/>
    </font>
    <font>
      <sz val="12"/>
      <color rgb="FF3F3F76"/>
      <name val="Times New Roman"/>
      <family val="2"/>
    </font>
    <font>
      <b/>
      <sz val="12"/>
      <color rgb="FF3F3F3F"/>
      <name val="Times New Roman"/>
      <family val="2"/>
    </font>
    <font>
      <b/>
      <sz val="12"/>
      <color rgb="FFFA7D00"/>
      <name val="Times New Roman"/>
      <family val="2"/>
    </font>
    <font>
      <sz val="12"/>
      <color rgb="FFFA7D00"/>
      <name val="Times New Roman"/>
      <family val="2"/>
    </font>
    <font>
      <b/>
      <sz val="12"/>
      <color theme="0"/>
      <name val="Times New Roman"/>
      <family val="2"/>
    </font>
    <font>
      <sz val="12"/>
      <color rgb="FFFF0000"/>
      <name val="Times New Roman"/>
      <family val="2"/>
    </font>
    <font>
      <i/>
      <sz val="12"/>
      <color rgb="FF7F7F7F"/>
      <name val="Times New Roman"/>
      <family val="2"/>
    </font>
    <font>
      <b/>
      <sz val="12"/>
      <color theme="1"/>
      <name val="Times New Roman"/>
      <family val="2"/>
    </font>
    <font>
      <sz val="12"/>
      <color theme="0"/>
      <name val="Times New Roman"/>
      <family val="2"/>
    </font>
    <font>
      <sz val="18"/>
      <color theme="3"/>
      <name val="Cambria"/>
      <family val="2"/>
      <scheme val="major"/>
    </font>
    <font>
      <sz val="10"/>
      <name val="Arial"/>
      <family val="2"/>
    </font>
    <font>
      <sz val="11"/>
      <name val="Calibri"/>
      <family val="2"/>
    </font>
    <font>
      <sz val="10"/>
      <color rgb="FFFFFFFF"/>
      <name val="Arial"/>
      <family val="2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Times New Roman"/>
      <family val="1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2"/>
      <color rgb="FF000000"/>
      <name val="Times New Roman"/>
      <family val="1"/>
    </font>
    <font>
      <b/>
      <sz val="12"/>
      <color rgb="FF000000"/>
      <name val="Times New Roman"/>
      <family val="1"/>
    </font>
    <font>
      <sz val="10"/>
      <color theme="1"/>
      <name val="Times New Roman"/>
      <family val="1"/>
    </font>
    <font>
      <sz val="8"/>
      <color theme="1"/>
      <name val="Times New Roman"/>
      <family val="1"/>
    </font>
    <font>
      <i/>
      <u/>
      <sz val="12"/>
      <color rgb="FF000000"/>
      <name val="Times New Roman"/>
      <family val="1"/>
    </font>
    <font>
      <b/>
      <sz val="12"/>
      <color rgb="FFEAEAEA"/>
      <name val="Times New Roman"/>
      <family val="1"/>
    </font>
    <font>
      <sz val="12"/>
      <color rgb="FF000000"/>
      <name val="Times New Roman"/>
      <family val="1"/>
    </font>
    <font>
      <b/>
      <sz val="12"/>
      <name val="Times New Roman"/>
      <family val="1"/>
    </font>
    <font>
      <i/>
      <sz val="12"/>
      <color theme="1"/>
      <name val="Times New Roman"/>
      <family val="1"/>
    </font>
  </fonts>
  <fills count="4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6A5ACD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/>
      <right/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48">
    <xf numFmtId="0" fontId="0" fillId="0" borderId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  <xf numFmtId="0" fontId="4" fillId="0" borderId="0" applyNumberFormat="0" applyFill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7" fillId="4" borderId="0" applyNumberFormat="0" applyBorder="0" applyAlignment="0" applyProtection="0"/>
    <xf numFmtId="0" fontId="8" fillId="5" borderId="4" applyNumberFormat="0" applyAlignment="0" applyProtection="0"/>
    <xf numFmtId="0" fontId="9" fillId="6" borderId="5" applyNumberFormat="0" applyAlignment="0" applyProtection="0"/>
    <xf numFmtId="0" fontId="10" fillId="6" borderId="4" applyNumberFormat="0" applyAlignment="0" applyProtection="0"/>
    <xf numFmtId="0" fontId="11" fillId="0" borderId="6" applyNumberFormat="0" applyFill="0" applyAlignment="0" applyProtection="0"/>
    <xf numFmtId="0" fontId="12" fillId="7" borderId="7" applyNumberFormat="0" applyAlignment="0" applyProtection="0"/>
    <xf numFmtId="0" fontId="13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6" fillId="12" borderId="0" applyNumberFormat="0" applyBorder="0" applyAlignment="0" applyProtection="0"/>
    <xf numFmtId="0" fontId="16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6" fillId="16" borderId="0" applyNumberFormat="0" applyBorder="0" applyAlignment="0" applyProtection="0"/>
    <xf numFmtId="0" fontId="16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6" fillId="20" borderId="0" applyNumberFormat="0" applyBorder="0" applyAlignment="0" applyProtection="0"/>
    <xf numFmtId="0" fontId="16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6" fillId="24" borderId="0" applyNumberFormat="0" applyBorder="0" applyAlignment="0" applyProtection="0"/>
    <xf numFmtId="0" fontId="16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6" fillId="28" borderId="0" applyNumberFormat="0" applyBorder="0" applyAlignment="0" applyProtection="0"/>
    <xf numFmtId="0" fontId="16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6" fillId="32" borderId="0" applyNumberFormat="0" applyBorder="0" applyAlignment="0" applyProtection="0"/>
    <xf numFmtId="0" fontId="17" fillId="0" borderId="0" applyNumberFormat="0" applyFill="0" applyBorder="0" applyAlignment="0" applyProtection="0"/>
    <xf numFmtId="0" fontId="18" fillId="0" borderId="10">
      <alignment horizontal="center" vertical="center"/>
    </xf>
    <xf numFmtId="0" fontId="19" fillId="0" borderId="0"/>
    <xf numFmtId="0" fontId="18" fillId="0" borderId="10">
      <alignment horizontal="center" vertical="center"/>
    </xf>
    <xf numFmtId="0" fontId="20" fillId="33" borderId="10">
      <alignment horizontal="center" vertical="center"/>
    </xf>
    <xf numFmtId="0" fontId="20" fillId="33" borderId="10">
      <alignment horizontal="center" vertical="center"/>
    </xf>
    <xf numFmtId="43" fontId="1" fillId="0" borderId="0" applyFont="0" applyFill="0" applyBorder="0" applyAlignment="0" applyProtection="0"/>
  </cellStyleXfs>
  <cellXfs count="54">
    <xf numFmtId="0" fontId="0" fillId="0" borderId="0" xfId="0"/>
    <xf numFmtId="0" fontId="0" fillId="0" borderId="0" xfId="0" applyFont="1"/>
    <xf numFmtId="0" fontId="21" fillId="0" borderId="0" xfId="0" applyFont="1" applyAlignment="1">
      <alignment vertical="center" wrapText="1"/>
    </xf>
    <xf numFmtId="11" fontId="21" fillId="0" borderId="0" xfId="0" applyNumberFormat="1" applyFont="1" applyAlignment="1">
      <alignment vertical="center"/>
    </xf>
    <xf numFmtId="0" fontId="22" fillId="0" borderId="0" xfId="0" applyFont="1" applyAlignment="1">
      <alignment vertical="center" wrapText="1"/>
    </xf>
    <xf numFmtId="0" fontId="21" fillId="0" borderId="11" xfId="0" applyFont="1" applyBorder="1" applyAlignment="1">
      <alignment vertical="center" wrapText="1"/>
    </xf>
    <xf numFmtId="11" fontId="21" fillId="0" borderId="11" xfId="0" applyNumberFormat="1" applyFont="1" applyBorder="1" applyAlignment="1">
      <alignment vertical="center"/>
    </xf>
    <xf numFmtId="0" fontId="0" fillId="0" borderId="11" xfId="0" applyFont="1" applyBorder="1"/>
    <xf numFmtId="11" fontId="21" fillId="0" borderId="0" xfId="0" applyNumberFormat="1" applyFont="1" applyAlignment="1">
      <alignment horizontal="centerContinuous" vertical="center"/>
    </xf>
    <xf numFmtId="0" fontId="23" fillId="0" borderId="0" xfId="0" applyFont="1" applyFill="1" applyBorder="1" applyAlignment="1">
      <alignment horizontal="centerContinuous"/>
    </xf>
    <xf numFmtId="0" fontId="0" fillId="0" borderId="0" xfId="0" applyFont="1" applyAlignment="1">
      <alignment horizontal="centerContinuous"/>
    </xf>
    <xf numFmtId="0" fontId="21" fillId="0" borderId="0" xfId="0" applyNumberFormat="1" applyFont="1" applyFill="1" applyAlignment="1">
      <alignment vertical="center"/>
    </xf>
    <xf numFmtId="0" fontId="24" fillId="35" borderId="12" xfId="0" applyNumberFormat="1" applyFont="1" applyFill="1" applyBorder="1" applyAlignment="1">
      <alignment horizontal="center" vertical="center" wrapText="1"/>
    </xf>
    <xf numFmtId="0" fontId="25" fillId="0" borderId="0" xfId="0" applyNumberFormat="1" applyFont="1" applyFill="1" applyAlignment="1">
      <alignment vertical="center"/>
    </xf>
    <xf numFmtId="0" fontId="0" fillId="0" borderId="0" xfId="0" applyNumberFormat="1" applyFont="1" applyAlignment="1">
      <alignment horizontal="centerContinuous"/>
    </xf>
    <xf numFmtId="0" fontId="0" fillId="0" borderId="0" xfId="0" applyNumberFormat="1" applyFont="1"/>
    <xf numFmtId="0" fontId="21" fillId="0" borderId="0" xfId="0" applyNumberFormat="1" applyFont="1" applyFill="1" applyBorder="1" applyAlignment="1">
      <alignment horizontal="centerContinuous" vertical="center"/>
    </xf>
    <xf numFmtId="0" fontId="0" fillId="0" borderId="0" xfId="0" applyNumberFormat="1"/>
    <xf numFmtId="0" fontId="0" fillId="34" borderId="0" xfId="0" applyFill="1"/>
    <xf numFmtId="11" fontId="21" fillId="0" borderId="0" xfId="0" applyNumberFormat="1" applyFont="1" applyBorder="1" applyAlignment="1">
      <alignment vertical="center"/>
    </xf>
    <xf numFmtId="0" fontId="0" fillId="0" borderId="0" xfId="0" applyFont="1" applyBorder="1"/>
    <xf numFmtId="0" fontId="21" fillId="0" borderId="0" xfId="0" applyFont="1" applyBorder="1" applyAlignment="1">
      <alignment vertical="center" wrapText="1"/>
    </xf>
    <xf numFmtId="0" fontId="0" fillId="0" borderId="0" xfId="0" applyBorder="1"/>
    <xf numFmtId="0" fontId="0" fillId="0" borderId="0" xfId="0"/>
    <xf numFmtId="0" fontId="0" fillId="0" borderId="0" xfId="0"/>
    <xf numFmtId="0" fontId="25" fillId="0" borderId="0" xfId="0" applyNumberFormat="1" applyFont="1" applyFill="1" applyBorder="1" applyAlignment="1">
      <alignment vertical="center"/>
    </xf>
    <xf numFmtId="0" fontId="21" fillId="0" borderId="0" xfId="0" applyNumberFormat="1" applyFont="1" applyFill="1" applyBorder="1" applyAlignment="1">
      <alignment vertical="center"/>
    </xf>
    <xf numFmtId="0" fontId="28" fillId="0" borderId="0" xfId="0" applyFont="1" applyAlignment="1">
      <alignment vertical="center" shrinkToFit="1"/>
    </xf>
    <xf numFmtId="164" fontId="28" fillId="0" borderId="0" xfId="0" applyNumberFormat="1" applyFont="1" applyAlignment="1">
      <alignment vertical="center" shrinkToFit="1"/>
    </xf>
    <xf numFmtId="165" fontId="28" fillId="0" borderId="0" xfId="0" applyNumberFormat="1" applyFont="1" applyAlignment="1">
      <alignment vertical="center" shrinkToFit="1"/>
    </xf>
    <xf numFmtId="165" fontId="28" fillId="0" borderId="0" xfId="0" applyNumberFormat="1" applyFont="1" applyAlignment="1">
      <alignment shrinkToFit="1"/>
    </xf>
    <xf numFmtId="2" fontId="28" fillId="0" borderId="0" xfId="0" applyNumberFormat="1" applyFont="1" applyAlignment="1">
      <alignment wrapText="1" shrinkToFit="1"/>
    </xf>
    <xf numFmtId="2" fontId="28" fillId="0" borderId="0" xfId="0" applyNumberFormat="1" applyFont="1" applyAlignment="1">
      <alignment vertical="center" shrinkToFit="1"/>
    </xf>
    <xf numFmtId="166" fontId="28" fillId="0" borderId="0" xfId="47" applyNumberFormat="1" applyFont="1" applyAlignment="1">
      <alignment vertical="center" shrinkToFit="1"/>
    </xf>
    <xf numFmtId="166" fontId="28" fillId="0" borderId="0" xfId="0" applyNumberFormat="1" applyFont="1" applyAlignment="1">
      <alignment vertical="center" shrinkToFit="1"/>
    </xf>
    <xf numFmtId="167" fontId="28" fillId="0" borderId="0" xfId="0" applyNumberFormat="1" applyFont="1" applyAlignment="1">
      <alignment vertical="center" shrinkToFit="1"/>
    </xf>
    <xf numFmtId="168" fontId="28" fillId="0" borderId="0" xfId="0" applyNumberFormat="1" applyFont="1" applyAlignment="1">
      <alignment vertical="center" shrinkToFit="1"/>
    </xf>
    <xf numFmtId="169" fontId="28" fillId="0" borderId="0" xfId="0" applyNumberFormat="1" applyFont="1" applyAlignment="1">
      <alignment vertical="center" shrinkToFit="1"/>
    </xf>
    <xf numFmtId="170" fontId="28" fillId="0" borderId="0" xfId="0" applyNumberFormat="1" applyFont="1" applyAlignment="1">
      <alignment vertical="center" shrinkToFit="1"/>
    </xf>
    <xf numFmtId="170" fontId="28" fillId="0" borderId="0" xfId="0" applyNumberFormat="1" applyFont="1" applyAlignment="1">
      <alignment horizontal="right" shrinkToFit="1"/>
    </xf>
    <xf numFmtId="0" fontId="28" fillId="0" borderId="0" xfId="0" applyFont="1" applyAlignment="1">
      <alignment horizontal="center" shrinkToFit="1"/>
    </xf>
    <xf numFmtId="0" fontId="29" fillId="0" borderId="0" xfId="0" quotePrefix="1" applyFont="1" applyAlignment="1">
      <alignment horizontal="left" vertical="center" wrapText="1"/>
    </xf>
    <xf numFmtId="0" fontId="29" fillId="0" borderId="0" xfId="0" quotePrefix="1" applyFont="1" applyAlignment="1">
      <alignment horizontal="left" vertical="center"/>
    </xf>
    <xf numFmtId="0" fontId="30" fillId="37" borderId="0" xfId="0" applyFont="1" applyFill="1"/>
    <xf numFmtId="0" fontId="26" fillId="36" borderId="0" xfId="0" applyFont="1" applyFill="1"/>
    <xf numFmtId="0" fontId="31" fillId="38" borderId="0" xfId="0" applyFont="1" applyFill="1"/>
    <xf numFmtId="0" fontId="27" fillId="39" borderId="0" xfId="0" applyFont="1" applyFill="1"/>
    <xf numFmtId="0" fontId="26" fillId="34" borderId="0" xfId="0" applyFont="1" applyFill="1"/>
    <xf numFmtId="0" fontId="32" fillId="36" borderId="0" xfId="0" applyFont="1" applyFill="1"/>
    <xf numFmtId="0" fontId="23" fillId="40" borderId="0" xfId="0" applyFont="1" applyFill="1"/>
    <xf numFmtId="0" fontId="27" fillId="34" borderId="0" xfId="0" applyFont="1" applyFill="1"/>
    <xf numFmtId="0" fontId="33" fillId="40" borderId="0" xfId="0" applyFont="1" applyFill="1"/>
    <xf numFmtId="0" fontId="23" fillId="0" borderId="0" xfId="0" applyFont="1"/>
    <xf numFmtId="0" fontId="34" fillId="0" borderId="0" xfId="0" applyFont="1"/>
  </cellXfs>
  <cellStyles count="48">
    <cellStyle name="20% - Accent1" xfId="18" builtinId="30" customBuiltin="1"/>
    <cellStyle name="20% - Accent2" xfId="22" builtinId="34" customBuiltin="1"/>
    <cellStyle name="20% - Accent3" xfId="26" builtinId="38" customBuiltin="1"/>
    <cellStyle name="20% - Accent4" xfId="30" builtinId="42" customBuiltin="1"/>
    <cellStyle name="20% - Accent5" xfId="34" builtinId="46" customBuiltin="1"/>
    <cellStyle name="20% - Accent6" xfId="38" builtinId="50" customBuiltin="1"/>
    <cellStyle name="40% - Accent1" xfId="19" builtinId="31" customBuiltin="1"/>
    <cellStyle name="40% - Accent2" xfId="23" builtinId="35" customBuiltin="1"/>
    <cellStyle name="40% - Accent3" xfId="27" builtinId="39" customBuiltin="1"/>
    <cellStyle name="40% - Accent4" xfId="31" builtinId="43" customBuiltin="1"/>
    <cellStyle name="40% - Accent5" xfId="35" builtinId="47" customBuiltin="1"/>
    <cellStyle name="40% - Accent6" xfId="39" builtinId="51" customBuiltin="1"/>
    <cellStyle name="60% - Accent1" xfId="20" builtinId="32" customBuiltin="1"/>
    <cellStyle name="60% - Accent2" xfId="24" builtinId="36" customBuiltin="1"/>
    <cellStyle name="60% - Accent3" xfId="28" builtinId="40" customBuiltin="1"/>
    <cellStyle name="60% - Accent4" xfId="32" builtinId="44" customBuiltin="1"/>
    <cellStyle name="60% - Accent5" xfId="36" builtinId="48" customBuiltin="1"/>
    <cellStyle name="60% - Accent6" xfId="40" builtinId="52" customBuiltin="1"/>
    <cellStyle name="Accent1" xfId="17" builtinId="29" customBuiltin="1"/>
    <cellStyle name="Accent2" xfId="21" builtinId="33" customBuiltin="1"/>
    <cellStyle name="Accent3" xfId="25" builtinId="37" customBuiltin="1"/>
    <cellStyle name="Accent4" xfId="29" builtinId="41" customBuiltin="1"/>
    <cellStyle name="Accent5" xfId="33" builtinId="45" customBuiltin="1"/>
    <cellStyle name="Accent6" xfId="37" builtinId="49" customBuiltin="1"/>
    <cellStyle name="Bad" xfId="6" builtinId="27" customBuiltin="1"/>
    <cellStyle name="Calculation" xfId="10" builtinId="22" customBuiltin="1"/>
    <cellStyle name="Check Cell" xfId="12" builtinId="23" customBuiltin="1"/>
    <cellStyle name="Comma" xfId="47" builtinId="3"/>
    <cellStyle name="DataTableStyle1177293" xfId="44"/>
    <cellStyle name="DataTableStyle1177293Header" xfId="45"/>
    <cellStyle name="DataTableStyle1177304" xfId="42"/>
    <cellStyle name="DataTableStyle1177304Header" xfId="46"/>
    <cellStyle name="Explanatory Text" xfId="15" builtinId="53" customBuiltin="1"/>
    <cellStyle name="Good" xfId="5" builtinId="26" customBuiltin="1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Input" xfId="8" builtinId="20" customBuiltin="1"/>
    <cellStyle name="Linked Cell" xfId="11" builtinId="24" customBuiltin="1"/>
    <cellStyle name="Neutral" xfId="7" builtinId="28" customBuiltin="1"/>
    <cellStyle name="Normal" xfId="0" builtinId="0"/>
    <cellStyle name="Normal 2" xfId="43"/>
    <cellStyle name="Note" xfId="14" builtinId="10" customBuiltin="1"/>
    <cellStyle name="Output" xfId="9" builtinId="21" customBuiltin="1"/>
    <cellStyle name="Title 2" xfId="41"/>
    <cellStyle name="Total" xfId="16" builtinId="25" customBuiltin="1"/>
    <cellStyle name="Warning Text" xfId="13" builtinId="11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FFFFCC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CC00CC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Main"/>
  <dimension ref="A1:D52"/>
  <sheetViews>
    <sheetView workbookViewId="0">
      <selection activeCell="H21" sqref="H21"/>
    </sheetView>
  </sheetViews>
  <sheetFormatPr defaultRowHeight="15.75" x14ac:dyDescent="0.25"/>
  <cols>
    <col min="1" max="1" width="18.5" customWidth="1"/>
    <col min="3" max="3" width="10.125" customWidth="1"/>
    <col min="4" max="4" width="21.75" customWidth="1"/>
  </cols>
  <sheetData>
    <row r="1" spans="1:4" x14ac:dyDescent="0.25">
      <c r="A1" t="s">
        <v>482</v>
      </c>
      <c r="D1" t="s">
        <v>484</v>
      </c>
    </row>
    <row r="2" spans="1:4" x14ac:dyDescent="0.25">
      <c r="A2" t="s">
        <v>481</v>
      </c>
    </row>
    <row r="3" spans="1:4" x14ac:dyDescent="0.25">
      <c r="A3" t="s">
        <v>483</v>
      </c>
    </row>
    <row r="28" spans="3:4" x14ac:dyDescent="0.25">
      <c r="C28" s="27">
        <v>0</v>
      </c>
      <c r="D28" s="27" t="e">
        <f t="shared" ref="D28:D36" si="0">LOG(C28)</f>
        <v>#NUM!</v>
      </c>
    </row>
    <row r="29" spans="3:4" x14ac:dyDescent="0.25">
      <c r="C29" s="28">
        <v>1000</v>
      </c>
      <c r="D29" s="27">
        <f t="shared" si="0"/>
        <v>3</v>
      </c>
    </row>
    <row r="30" spans="3:4" x14ac:dyDescent="0.25">
      <c r="C30" s="28">
        <v>999</v>
      </c>
      <c r="D30" s="27">
        <f t="shared" si="0"/>
        <v>2.9995654882259823</v>
      </c>
    </row>
    <row r="31" spans="3:4" x14ac:dyDescent="0.25">
      <c r="C31" s="28">
        <v>100</v>
      </c>
      <c r="D31" s="27">
        <f t="shared" si="0"/>
        <v>2</v>
      </c>
    </row>
    <row r="32" spans="3:4" x14ac:dyDescent="0.25">
      <c r="C32" s="29">
        <v>99</v>
      </c>
      <c r="D32" s="27">
        <f t="shared" si="0"/>
        <v>1.9956351945975499</v>
      </c>
    </row>
    <row r="33" spans="3:4" x14ac:dyDescent="0.25">
      <c r="C33" s="30">
        <v>10</v>
      </c>
      <c r="D33" s="27">
        <f t="shared" si="0"/>
        <v>1</v>
      </c>
    </row>
    <row r="34" spans="3:4" x14ac:dyDescent="0.25">
      <c r="C34" s="31">
        <v>9</v>
      </c>
      <c r="D34" s="27">
        <f t="shared" si="0"/>
        <v>0.95424250943932487</v>
      </c>
    </row>
    <row r="35" spans="3:4" x14ac:dyDescent="0.25">
      <c r="C35" s="32">
        <v>1</v>
      </c>
      <c r="D35" s="27">
        <f t="shared" si="0"/>
        <v>0</v>
      </c>
    </row>
    <row r="36" spans="3:4" x14ac:dyDescent="0.25">
      <c r="C36" s="33">
        <v>0.99</v>
      </c>
      <c r="D36" s="27">
        <f t="shared" si="0"/>
        <v>-4.3648054024500883E-3</v>
      </c>
    </row>
    <row r="37" spans="3:4" x14ac:dyDescent="0.25">
      <c r="C37" s="34">
        <v>0.1</v>
      </c>
      <c r="D37" s="27">
        <f>LOG(C37)</f>
        <v>-1</v>
      </c>
    </row>
    <row r="38" spans="3:4" x14ac:dyDescent="0.25">
      <c r="C38" s="34">
        <v>0.11</v>
      </c>
      <c r="D38" s="27">
        <f>LOG(C38)</f>
        <v>-0.95860731484177497</v>
      </c>
    </row>
    <row r="39" spans="3:4" x14ac:dyDescent="0.25">
      <c r="C39" s="35">
        <v>9.9000000000000005E-2</v>
      </c>
      <c r="D39" s="27">
        <f>LOG(C39)</f>
        <v>-1.0043648054024501</v>
      </c>
    </row>
    <row r="40" spans="3:4" x14ac:dyDescent="0.25">
      <c r="C40" s="35">
        <v>0.01</v>
      </c>
      <c r="D40" s="27">
        <f>LOG(C40)</f>
        <v>-2</v>
      </c>
    </row>
    <row r="41" spans="3:4" x14ac:dyDescent="0.25">
      <c r="C41" s="35">
        <v>1.0999999999999999E-2</v>
      </c>
      <c r="D41" s="27">
        <f t="shared" ref="D41" si="1">LOG(C41)</f>
        <v>-1.9586073148417751</v>
      </c>
    </row>
    <row r="42" spans="3:4" x14ac:dyDescent="0.25">
      <c r="C42" s="36">
        <v>1E-3</v>
      </c>
      <c r="D42" s="27">
        <f t="shared" ref="D42:D49" si="2">LOG(C42)</f>
        <v>-3</v>
      </c>
    </row>
    <row r="43" spans="3:4" x14ac:dyDescent="0.25">
      <c r="C43" s="36">
        <v>1.1100000000000001E-3</v>
      </c>
      <c r="D43" s="27">
        <f t="shared" si="2"/>
        <v>-2.9546770212133424</v>
      </c>
    </row>
    <row r="44" spans="3:4" x14ac:dyDescent="0.25">
      <c r="C44" s="37">
        <v>1E-4</v>
      </c>
      <c r="D44" s="27">
        <f t="shared" si="2"/>
        <v>-4</v>
      </c>
    </row>
    <row r="45" spans="3:4" x14ac:dyDescent="0.25">
      <c r="C45" s="37">
        <v>1.1E-4</v>
      </c>
      <c r="D45" s="27">
        <f t="shared" si="2"/>
        <v>-3.9586073148417751</v>
      </c>
    </row>
    <row r="46" spans="3:4" x14ac:dyDescent="0.25">
      <c r="C46" s="38">
        <v>1.0000000000000001E-5</v>
      </c>
      <c r="D46" s="27">
        <f t="shared" si="2"/>
        <v>-5</v>
      </c>
    </row>
    <row r="47" spans="3:4" x14ac:dyDescent="0.25">
      <c r="C47" s="39">
        <v>1.1E-5</v>
      </c>
      <c r="D47" s="40">
        <f t="shared" si="2"/>
        <v>-4.9586073148417746</v>
      </c>
    </row>
    <row r="48" spans="3:4" x14ac:dyDescent="0.25">
      <c r="C48" s="41">
        <v>9.9999999999999995E-7</v>
      </c>
      <c r="D48" s="41">
        <f t="shared" si="2"/>
        <v>-6</v>
      </c>
    </row>
    <row r="49" spans="3:4" x14ac:dyDescent="0.25">
      <c r="C49" s="42">
        <v>1.1000000000000001E-6</v>
      </c>
      <c r="D49" s="42">
        <f t="shared" si="2"/>
        <v>-5.9586073148417746</v>
      </c>
    </row>
    <row r="50" spans="3:4" x14ac:dyDescent="0.25">
      <c r="C50" s="42">
        <v>9.9999999999999995E-8</v>
      </c>
      <c r="D50" s="42">
        <f t="shared" ref="D50:D51" si="3">LOG(C50)</f>
        <v>-7</v>
      </c>
    </row>
    <row r="51" spans="3:4" x14ac:dyDescent="0.25">
      <c r="C51" s="42">
        <v>1.1000000000000001E-7</v>
      </c>
      <c r="D51" s="42">
        <f t="shared" si="3"/>
        <v>-6.9586073148417746</v>
      </c>
    </row>
    <row r="52" spans="3:4" x14ac:dyDescent="0.25">
      <c r="C52" s="42"/>
      <c r="D52" s="4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LabDataFormats"/>
  <dimension ref="A1:E13"/>
  <sheetViews>
    <sheetView workbookViewId="0">
      <selection activeCell="D17" sqref="D17"/>
    </sheetView>
  </sheetViews>
  <sheetFormatPr defaultRowHeight="15.75" x14ac:dyDescent="0.25"/>
  <cols>
    <col min="1" max="1" width="36.875" customWidth="1"/>
    <col min="2" max="2" width="16.625" customWidth="1"/>
    <col min="3" max="3" width="17" customWidth="1"/>
    <col min="4" max="4" width="16.25" customWidth="1"/>
    <col min="5" max="5" width="18.75" customWidth="1"/>
  </cols>
  <sheetData>
    <row r="1" spans="1:5" x14ac:dyDescent="0.25">
      <c r="A1" t="s">
        <v>441</v>
      </c>
      <c r="B1" t="s">
        <v>445</v>
      </c>
      <c r="C1" t="s">
        <v>442</v>
      </c>
      <c r="D1" t="s">
        <v>500</v>
      </c>
      <c r="E1" t="s">
        <v>460</v>
      </c>
    </row>
    <row r="2" spans="1:5" s="24" customFormat="1" x14ac:dyDescent="0.25">
      <c r="A2" s="18" t="s">
        <v>458</v>
      </c>
      <c r="B2" s="24" t="s">
        <v>501</v>
      </c>
      <c r="C2" s="18" t="s">
        <v>499</v>
      </c>
      <c r="D2" s="18" t="s">
        <v>444</v>
      </c>
      <c r="E2" s="47" t="s">
        <v>437</v>
      </c>
    </row>
    <row r="3" spans="1:5" s="24" customFormat="1" x14ac:dyDescent="0.25">
      <c r="A3" s="18" t="s">
        <v>459</v>
      </c>
      <c r="B3" s="24" t="s">
        <v>501</v>
      </c>
      <c r="C3" s="18" t="s">
        <v>499</v>
      </c>
      <c r="D3" s="18" t="s">
        <v>443</v>
      </c>
      <c r="E3" s="48" t="s">
        <v>437</v>
      </c>
    </row>
    <row r="4" spans="1:5" s="24" customFormat="1" x14ac:dyDescent="0.25">
      <c r="A4" s="18" t="s">
        <v>456</v>
      </c>
      <c r="B4" s="24" t="s">
        <v>501</v>
      </c>
      <c r="C4" s="18" t="s">
        <v>454</v>
      </c>
      <c r="D4" s="18" t="s">
        <v>444</v>
      </c>
      <c r="E4" s="51" t="s">
        <v>437</v>
      </c>
    </row>
    <row r="5" spans="1:5" s="24" customFormat="1" x14ac:dyDescent="0.25">
      <c r="A5" s="18" t="s">
        <v>457</v>
      </c>
      <c r="B5" s="24" t="s">
        <v>501</v>
      </c>
      <c r="C5" s="18" t="s">
        <v>454</v>
      </c>
      <c r="D5" s="18" t="s">
        <v>443</v>
      </c>
      <c r="E5" s="50" t="s">
        <v>437</v>
      </c>
    </row>
    <row r="6" spans="1:5" x14ac:dyDescent="0.25">
      <c r="A6" s="18" t="s">
        <v>458</v>
      </c>
      <c r="B6" s="24" t="s">
        <v>447</v>
      </c>
      <c r="C6" s="18" t="s">
        <v>499</v>
      </c>
      <c r="D6" s="18" t="s">
        <v>444</v>
      </c>
      <c r="E6" s="43" t="s">
        <v>437</v>
      </c>
    </row>
    <row r="7" spans="1:5" x14ac:dyDescent="0.25">
      <c r="A7" s="18" t="s">
        <v>459</v>
      </c>
      <c r="B7" s="24" t="s">
        <v>447</v>
      </c>
      <c r="C7" s="18" t="s">
        <v>499</v>
      </c>
      <c r="D7" s="18" t="s">
        <v>443</v>
      </c>
      <c r="E7" s="44" t="s">
        <v>437</v>
      </c>
    </row>
    <row r="8" spans="1:5" x14ac:dyDescent="0.25">
      <c r="A8" s="18" t="s">
        <v>456</v>
      </c>
      <c r="B8" s="24" t="s">
        <v>447</v>
      </c>
      <c r="C8" s="18" t="s">
        <v>454</v>
      </c>
      <c r="D8" s="18" t="s">
        <v>444</v>
      </c>
      <c r="E8" s="45" t="s">
        <v>437</v>
      </c>
    </row>
    <row r="9" spans="1:5" x14ac:dyDescent="0.25">
      <c r="A9" s="18" t="s">
        <v>457</v>
      </c>
      <c r="B9" s="24" t="s">
        <v>447</v>
      </c>
      <c r="C9" s="18" t="s">
        <v>454</v>
      </c>
      <c r="D9" s="18" t="s">
        <v>443</v>
      </c>
      <c r="E9" s="46" t="s">
        <v>437</v>
      </c>
    </row>
    <row r="10" spans="1:5" x14ac:dyDescent="0.25">
      <c r="A10" s="18" t="s">
        <v>458</v>
      </c>
      <c r="B10" s="24" t="s">
        <v>448</v>
      </c>
      <c r="C10" s="18" t="s">
        <v>499</v>
      </c>
      <c r="D10" s="18" t="s">
        <v>444</v>
      </c>
      <c r="E10" s="47" t="s">
        <v>437</v>
      </c>
    </row>
    <row r="11" spans="1:5" x14ac:dyDescent="0.25">
      <c r="A11" s="18" t="s">
        <v>459</v>
      </c>
      <c r="B11" s="24" t="s">
        <v>448</v>
      </c>
      <c r="C11" s="18" t="s">
        <v>499</v>
      </c>
      <c r="D11" s="18" t="s">
        <v>443</v>
      </c>
      <c r="E11" s="48" t="s">
        <v>437</v>
      </c>
    </row>
    <row r="12" spans="1:5" x14ac:dyDescent="0.25">
      <c r="A12" s="18" t="s">
        <v>456</v>
      </c>
      <c r="B12" s="24" t="s">
        <v>448</v>
      </c>
      <c r="C12" s="18" t="s">
        <v>454</v>
      </c>
      <c r="D12" s="18" t="s">
        <v>444</v>
      </c>
      <c r="E12" s="49" t="s">
        <v>437</v>
      </c>
    </row>
    <row r="13" spans="1:5" x14ac:dyDescent="0.25">
      <c r="A13" s="18" t="s">
        <v>457</v>
      </c>
      <c r="B13" s="24" t="s">
        <v>448</v>
      </c>
      <c r="C13" s="18" t="s">
        <v>454</v>
      </c>
      <c r="D13" s="18" t="s">
        <v>443</v>
      </c>
      <c r="E13" s="50" t="s">
        <v>437</v>
      </c>
    </row>
  </sheetData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ormatGroups"/>
  <dimension ref="A1:O12"/>
  <sheetViews>
    <sheetView tabSelected="1" workbookViewId="0">
      <selection activeCell="A5" sqref="A5"/>
    </sheetView>
  </sheetViews>
  <sheetFormatPr defaultRowHeight="15.75" x14ac:dyDescent="0.25"/>
  <cols>
    <col min="1" max="1" width="15.375" customWidth="1"/>
  </cols>
  <sheetData>
    <row r="1" spans="1:15" x14ac:dyDescent="0.25">
      <c r="A1" t="s">
        <v>450</v>
      </c>
    </row>
    <row r="2" spans="1:15" x14ac:dyDescent="0.25">
      <c r="A2" t="s">
        <v>449</v>
      </c>
    </row>
    <row r="3" spans="1:15" x14ac:dyDescent="0.25">
      <c r="A3" t="s">
        <v>447</v>
      </c>
    </row>
    <row r="4" spans="1:15" x14ac:dyDescent="0.25">
      <c r="A4" t="s">
        <v>446</v>
      </c>
    </row>
    <row r="5" spans="1:15" x14ac:dyDescent="0.25">
      <c r="A5" t="s">
        <v>448</v>
      </c>
    </row>
    <row r="6" spans="1:15" x14ac:dyDescent="0.25">
      <c r="A6" t="s">
        <v>451</v>
      </c>
    </row>
    <row r="7" spans="1:15" x14ac:dyDescent="0.25">
      <c r="A7" t="s">
        <v>452</v>
      </c>
    </row>
    <row r="8" spans="1:15" x14ac:dyDescent="0.25">
      <c r="A8" t="s">
        <v>453</v>
      </c>
    </row>
    <row r="9" spans="1:15" x14ac:dyDescent="0.25">
      <c r="A9" t="s">
        <v>455</v>
      </c>
    </row>
    <row r="12" spans="1:15" x14ac:dyDescent="0.25">
      <c r="O12" t="s">
        <v>440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xOldCombinedTestSheet"/>
  <dimension ref="A1:G187"/>
  <sheetViews>
    <sheetView topLeftCell="A131" workbookViewId="0">
      <selection activeCell="C159" sqref="C159"/>
    </sheetView>
  </sheetViews>
  <sheetFormatPr defaultRowHeight="15.75" x14ac:dyDescent="0.25"/>
  <cols>
    <col min="1" max="1" width="26.5" style="1" customWidth="1"/>
    <col min="2" max="2" width="11.75" style="1" customWidth="1"/>
    <col min="3" max="3" width="27.25" style="1" customWidth="1"/>
    <col min="4" max="4" width="27.25" style="15" customWidth="1"/>
    <col min="5" max="5" width="38.375" style="17" customWidth="1"/>
    <col min="6" max="6" width="25.625" customWidth="1"/>
    <col min="7" max="7" width="17.5" customWidth="1"/>
  </cols>
  <sheetData>
    <row r="1" spans="1:7" ht="16.5" thickBot="1" x14ac:dyDescent="0.3">
      <c r="A1" s="1" t="s">
        <v>0</v>
      </c>
      <c r="B1" s="1" t="s">
        <v>2</v>
      </c>
      <c r="C1" s="1" t="s">
        <v>1</v>
      </c>
      <c r="D1" s="12" t="s">
        <v>439</v>
      </c>
      <c r="E1" s="15" t="s">
        <v>431</v>
      </c>
      <c r="F1" t="s">
        <v>438</v>
      </c>
      <c r="G1" t="s">
        <v>498</v>
      </c>
    </row>
    <row r="2" spans="1:7" x14ac:dyDescent="0.25">
      <c r="A2" s="2" t="s">
        <v>3</v>
      </c>
      <c r="B2" s="3" t="s">
        <v>185</v>
      </c>
      <c r="C2" s="1" t="s">
        <v>3</v>
      </c>
      <c r="D2" s="13">
        <v>530</v>
      </c>
      <c r="E2" s="11">
        <v>37</v>
      </c>
      <c r="F2">
        <v>3800</v>
      </c>
      <c r="G2">
        <v>37</v>
      </c>
    </row>
    <row r="3" spans="1:7" x14ac:dyDescent="0.25">
      <c r="A3" s="2" t="s">
        <v>4</v>
      </c>
      <c r="B3" s="3" t="s">
        <v>186</v>
      </c>
      <c r="C3" s="1" t="s">
        <v>4</v>
      </c>
      <c r="D3" s="13">
        <v>260</v>
      </c>
      <c r="E3" s="11">
        <v>18</v>
      </c>
      <c r="F3">
        <v>1900</v>
      </c>
      <c r="G3">
        <v>18</v>
      </c>
    </row>
    <row r="4" spans="1:7" x14ac:dyDescent="0.25">
      <c r="A4" s="2" t="s">
        <v>5</v>
      </c>
      <c r="B4" s="3" t="s">
        <v>187</v>
      </c>
      <c r="D4" s="13">
        <v>14000</v>
      </c>
      <c r="E4" s="11">
        <v>38</v>
      </c>
      <c r="F4">
        <v>65000</v>
      </c>
      <c r="G4">
        <v>38</v>
      </c>
    </row>
    <row r="5" spans="1:7" x14ac:dyDescent="0.25">
      <c r="A5" s="2" t="s">
        <v>6</v>
      </c>
      <c r="B5" s="3" t="s">
        <v>188</v>
      </c>
      <c r="C5" s="1" t="s">
        <v>6</v>
      </c>
      <c r="D5" s="13">
        <v>9.1999999999999998E-3</v>
      </c>
      <c r="E5" s="11">
        <v>9.9000000000000008E-3</v>
      </c>
      <c r="F5">
        <v>0.4</v>
      </c>
      <c r="G5">
        <v>9.9000000000000008E-3</v>
      </c>
    </row>
    <row r="6" spans="1:7" x14ac:dyDescent="0.25">
      <c r="A6" s="2" t="s">
        <v>7</v>
      </c>
      <c r="B6" s="3" t="s">
        <v>189</v>
      </c>
      <c r="D6" s="13">
        <v>14</v>
      </c>
      <c r="E6" s="11">
        <v>3.6999999999999998E-2</v>
      </c>
      <c r="F6">
        <v>58</v>
      </c>
      <c r="G6">
        <v>3.6999999999999998E-2</v>
      </c>
    </row>
    <row r="7" spans="1:7" x14ac:dyDescent="0.25">
      <c r="A7" s="2" t="s">
        <v>8</v>
      </c>
      <c r="B7" s="3" t="s">
        <v>190</v>
      </c>
      <c r="C7" s="1" t="s">
        <v>8</v>
      </c>
      <c r="D7" s="13">
        <v>43</v>
      </c>
      <c r="E7" s="11">
        <v>390</v>
      </c>
      <c r="F7">
        <v>19000</v>
      </c>
      <c r="G7">
        <v>390</v>
      </c>
    </row>
    <row r="8" spans="1:7" x14ac:dyDescent="0.25">
      <c r="A8" s="2" t="s">
        <v>9</v>
      </c>
      <c r="B8" s="3" t="s">
        <v>191</v>
      </c>
      <c r="D8" s="13">
        <v>7.8</v>
      </c>
      <c r="E8" s="11">
        <v>4.5999999999999996</v>
      </c>
      <c r="F8">
        <v>33</v>
      </c>
      <c r="G8">
        <v>4.5999999999999996</v>
      </c>
    </row>
    <row r="9" spans="1:7" x14ac:dyDescent="0.25">
      <c r="A9" s="2" t="s">
        <v>10</v>
      </c>
      <c r="B9" s="3" t="s">
        <v>192</v>
      </c>
      <c r="C9" s="1" t="s">
        <v>420</v>
      </c>
      <c r="D9" s="13">
        <v>0.52</v>
      </c>
      <c r="E9" s="11">
        <v>0.2</v>
      </c>
      <c r="F9">
        <v>7.2</v>
      </c>
      <c r="G9">
        <v>13</v>
      </c>
    </row>
    <row r="10" spans="1:7" x14ac:dyDescent="0.25">
      <c r="A10" s="2" t="s">
        <v>11</v>
      </c>
      <c r="B10" s="3" t="s">
        <v>193</v>
      </c>
      <c r="C10" s="1" t="s">
        <v>11</v>
      </c>
      <c r="D10" s="13">
        <v>3800</v>
      </c>
      <c r="E10" s="11">
        <v>2100</v>
      </c>
      <c r="F10">
        <v>17000</v>
      </c>
      <c r="G10">
        <v>2100</v>
      </c>
    </row>
    <row r="11" spans="1:7" x14ac:dyDescent="0.25">
      <c r="A11" s="2" t="s">
        <v>12</v>
      </c>
      <c r="B11" s="3" t="s">
        <v>194</v>
      </c>
      <c r="C11" s="1" t="s">
        <v>407</v>
      </c>
      <c r="D11" s="13">
        <v>0.12</v>
      </c>
      <c r="E11" s="11">
        <v>0.28000000000000003</v>
      </c>
      <c r="F11">
        <v>1.7</v>
      </c>
      <c r="G11">
        <v>0.28000000000000003</v>
      </c>
    </row>
    <row r="12" spans="1:7" x14ac:dyDescent="0.25">
      <c r="A12" s="4" t="s">
        <v>13</v>
      </c>
      <c r="B12" s="3" t="s">
        <v>195</v>
      </c>
      <c r="D12" s="13">
        <v>1900</v>
      </c>
      <c r="E12" s="11">
        <v>0.52</v>
      </c>
      <c r="F12">
        <v>770</v>
      </c>
      <c r="G12">
        <v>0.52</v>
      </c>
    </row>
    <row r="13" spans="1:7" x14ac:dyDescent="0.25">
      <c r="A13" s="2" t="s">
        <v>14</v>
      </c>
      <c r="B13" s="3" t="s">
        <v>196</v>
      </c>
      <c r="C13" s="1" t="s">
        <v>14</v>
      </c>
      <c r="D13" s="13">
        <v>4.5999999999999996</v>
      </c>
      <c r="E13" s="11">
        <v>2.1999999999999999E-2</v>
      </c>
      <c r="F13">
        <v>8.1</v>
      </c>
      <c r="G13">
        <v>2.1999999999999999E-2</v>
      </c>
    </row>
    <row r="14" spans="1:7" x14ac:dyDescent="0.25">
      <c r="A14" s="2" t="s">
        <v>15</v>
      </c>
      <c r="B14" s="3" t="s">
        <v>197</v>
      </c>
      <c r="C14" s="1" t="s">
        <v>15</v>
      </c>
      <c r="D14" s="13">
        <v>3.4000000000000002E-2</v>
      </c>
      <c r="E14" s="11">
        <v>0.27</v>
      </c>
      <c r="F14">
        <v>0.17</v>
      </c>
      <c r="G14">
        <v>0.27</v>
      </c>
    </row>
    <row r="15" spans="1:7" x14ac:dyDescent="0.25">
      <c r="A15" s="2" t="s">
        <v>16</v>
      </c>
      <c r="B15" s="3" t="s">
        <v>198</v>
      </c>
      <c r="C15" s="1" t="s">
        <v>408</v>
      </c>
      <c r="D15" s="13">
        <v>0.34</v>
      </c>
      <c r="E15" s="11">
        <v>2.7</v>
      </c>
      <c r="F15">
        <v>1.7</v>
      </c>
      <c r="G15">
        <v>2.7</v>
      </c>
    </row>
    <row r="16" spans="1:7" x14ac:dyDescent="0.25">
      <c r="A16" s="2" t="s">
        <v>17</v>
      </c>
      <c r="B16" s="3" t="s">
        <v>199</v>
      </c>
      <c r="C16" s="1" t="s">
        <v>17</v>
      </c>
      <c r="D16" s="13">
        <v>0.26</v>
      </c>
      <c r="E16" s="11">
        <v>15000</v>
      </c>
      <c r="F16">
        <v>1900</v>
      </c>
      <c r="G16">
        <v>15000</v>
      </c>
    </row>
    <row r="17" spans="1:7" x14ac:dyDescent="0.25">
      <c r="A17" s="2" t="s">
        <v>18</v>
      </c>
      <c r="B17" s="3" t="s">
        <v>200</v>
      </c>
      <c r="C17" s="1" t="s">
        <v>18</v>
      </c>
      <c r="D17" s="13" t="s">
        <v>440</v>
      </c>
      <c r="E17" s="11">
        <v>27</v>
      </c>
      <c r="F17">
        <v>17</v>
      </c>
      <c r="G17">
        <v>27</v>
      </c>
    </row>
    <row r="18" spans="1:7" x14ac:dyDescent="0.25">
      <c r="A18" s="2" t="s">
        <v>19</v>
      </c>
      <c r="B18" s="3" t="s">
        <v>201</v>
      </c>
      <c r="D18" s="13">
        <v>75000</v>
      </c>
      <c r="E18" s="11">
        <v>200</v>
      </c>
      <c r="F18">
        <v>100000</v>
      </c>
      <c r="G18">
        <v>200</v>
      </c>
    </row>
    <row r="19" spans="1:7" x14ac:dyDescent="0.25">
      <c r="A19" s="4" t="s">
        <v>20</v>
      </c>
      <c r="B19" s="3" t="s">
        <v>202</v>
      </c>
      <c r="D19" s="13">
        <v>2000</v>
      </c>
      <c r="E19" s="11">
        <v>5.7</v>
      </c>
      <c r="F19">
        <v>6700</v>
      </c>
      <c r="G19">
        <v>5.7</v>
      </c>
    </row>
    <row r="20" spans="1:7" x14ac:dyDescent="0.25">
      <c r="A20" s="2" t="s">
        <v>21</v>
      </c>
      <c r="B20" s="3" t="s">
        <v>203</v>
      </c>
      <c r="D20" s="13">
        <v>25</v>
      </c>
      <c r="E20" s="11">
        <v>260</v>
      </c>
      <c r="F20">
        <v>170</v>
      </c>
      <c r="G20">
        <v>260</v>
      </c>
    </row>
    <row r="21" spans="1:7" x14ac:dyDescent="0.25">
      <c r="A21" s="2" t="s">
        <v>22</v>
      </c>
      <c r="B21" s="3" t="s">
        <v>204</v>
      </c>
      <c r="D21" s="13">
        <v>0.14000000000000001</v>
      </c>
      <c r="E21" s="11">
        <v>4.2000000000000002E-4</v>
      </c>
      <c r="F21">
        <v>2.1</v>
      </c>
      <c r="G21">
        <v>4.2000000000000002E-4</v>
      </c>
    </row>
    <row r="22" spans="1:7" x14ac:dyDescent="0.25">
      <c r="A22" s="2" t="s">
        <v>23</v>
      </c>
      <c r="B22" s="3" t="s">
        <v>205</v>
      </c>
      <c r="D22" s="13">
        <v>56</v>
      </c>
      <c r="E22" s="11">
        <v>88</v>
      </c>
      <c r="F22">
        <v>410</v>
      </c>
      <c r="G22">
        <v>88</v>
      </c>
    </row>
    <row r="23" spans="1:7" x14ac:dyDescent="0.25">
      <c r="A23" s="4" t="s">
        <v>24</v>
      </c>
      <c r="B23" s="3" t="s">
        <v>206</v>
      </c>
      <c r="C23" s="1" t="s">
        <v>24</v>
      </c>
      <c r="D23" s="13">
        <v>62</v>
      </c>
      <c r="E23" s="11">
        <v>0.36</v>
      </c>
      <c r="F23">
        <v>160</v>
      </c>
      <c r="G23">
        <v>0.36</v>
      </c>
    </row>
    <row r="24" spans="1:7" x14ac:dyDescent="0.25">
      <c r="A24" s="2" t="s">
        <v>25</v>
      </c>
      <c r="B24" s="3" t="s">
        <v>207</v>
      </c>
      <c r="C24" s="1" t="s">
        <v>25</v>
      </c>
      <c r="D24" s="13">
        <v>1.3</v>
      </c>
      <c r="E24" s="11">
        <v>4.3E-3</v>
      </c>
      <c r="F24">
        <v>2.6</v>
      </c>
      <c r="G24">
        <v>4.3E-3</v>
      </c>
    </row>
    <row r="25" spans="1:7" x14ac:dyDescent="0.25">
      <c r="A25" s="2" t="s">
        <v>26</v>
      </c>
      <c r="B25" s="3" t="s">
        <v>208</v>
      </c>
      <c r="C25" s="1" t="s">
        <v>26</v>
      </c>
      <c r="D25" s="13">
        <v>33</v>
      </c>
      <c r="E25" s="11">
        <v>0.1</v>
      </c>
      <c r="F25">
        <v>170</v>
      </c>
      <c r="G25">
        <v>0.1</v>
      </c>
    </row>
    <row r="26" spans="1:7" x14ac:dyDescent="0.25">
      <c r="A26" s="2" t="s">
        <v>27</v>
      </c>
      <c r="B26" s="3" t="s">
        <v>209</v>
      </c>
      <c r="C26" s="1" t="s">
        <v>27</v>
      </c>
      <c r="D26" s="13">
        <v>7.5</v>
      </c>
      <c r="E26" s="11">
        <v>2.4E-2</v>
      </c>
      <c r="F26">
        <v>7.4</v>
      </c>
      <c r="G26">
        <v>2.4E-2</v>
      </c>
    </row>
    <row r="27" spans="1:7" x14ac:dyDescent="0.25">
      <c r="A27" s="4" t="s">
        <v>28</v>
      </c>
      <c r="B27" s="3" t="s">
        <v>210</v>
      </c>
      <c r="D27" s="13">
        <v>0.18</v>
      </c>
      <c r="E27" s="11">
        <v>1.1999999999999999E-3</v>
      </c>
      <c r="F27">
        <v>0.64</v>
      </c>
      <c r="G27">
        <v>1.1999999999999999E-3</v>
      </c>
    </row>
    <row r="28" spans="1:7" x14ac:dyDescent="0.25">
      <c r="A28" s="2" t="s">
        <v>29</v>
      </c>
      <c r="B28" s="3" t="s">
        <v>211</v>
      </c>
      <c r="D28" s="13">
        <v>2000</v>
      </c>
      <c r="E28" s="11">
        <v>5.3</v>
      </c>
      <c r="F28">
        <v>6500</v>
      </c>
      <c r="G28">
        <v>5.3</v>
      </c>
    </row>
    <row r="29" spans="1:7" x14ac:dyDescent="0.25">
      <c r="A29" s="2" t="s">
        <v>30</v>
      </c>
      <c r="B29" s="3" t="s">
        <v>212</v>
      </c>
      <c r="D29" s="13">
        <v>160</v>
      </c>
      <c r="E29" s="11">
        <v>16</v>
      </c>
      <c r="F29">
        <v>3000</v>
      </c>
      <c r="G29">
        <v>16</v>
      </c>
    </row>
    <row r="30" spans="1:7" x14ac:dyDescent="0.25">
      <c r="A30" s="2" t="s">
        <v>31</v>
      </c>
      <c r="B30" s="3" t="s">
        <v>213</v>
      </c>
      <c r="C30" s="1" t="s">
        <v>375</v>
      </c>
      <c r="D30" s="13">
        <v>1000</v>
      </c>
      <c r="E30" s="11">
        <v>23</v>
      </c>
      <c r="F30">
        <v>20</v>
      </c>
      <c r="G30">
        <v>23</v>
      </c>
    </row>
    <row r="31" spans="1:7" x14ac:dyDescent="0.25">
      <c r="A31" s="2" t="s">
        <v>32</v>
      </c>
      <c r="B31" s="3" t="s">
        <v>214</v>
      </c>
      <c r="C31" s="1" t="s">
        <v>377</v>
      </c>
      <c r="D31" s="13">
        <v>2000</v>
      </c>
      <c r="E31" s="11">
        <v>42</v>
      </c>
      <c r="F31">
        <v>28</v>
      </c>
      <c r="G31">
        <v>42</v>
      </c>
    </row>
    <row r="32" spans="1:7" x14ac:dyDescent="0.25">
      <c r="A32" s="2" t="s">
        <v>33</v>
      </c>
      <c r="B32" s="3" t="s">
        <v>215</v>
      </c>
      <c r="C32" s="1" t="s">
        <v>378</v>
      </c>
      <c r="D32" s="13">
        <v>690</v>
      </c>
      <c r="E32" s="11">
        <v>11</v>
      </c>
      <c r="F32">
        <v>35</v>
      </c>
      <c r="G32">
        <v>11</v>
      </c>
    </row>
    <row r="33" spans="1:7" x14ac:dyDescent="0.25">
      <c r="A33" s="2" t="s">
        <v>34</v>
      </c>
      <c r="B33" s="3" t="s">
        <v>216</v>
      </c>
      <c r="C33" s="1" t="s">
        <v>422</v>
      </c>
      <c r="D33" s="13">
        <v>9.1999999999999993</v>
      </c>
      <c r="E33" s="11">
        <v>9.1</v>
      </c>
      <c r="F33">
        <v>76</v>
      </c>
      <c r="G33">
        <v>9.1</v>
      </c>
    </row>
    <row r="34" spans="1:7" x14ac:dyDescent="0.25">
      <c r="A34" s="2" t="s">
        <v>35</v>
      </c>
      <c r="B34" s="3" t="s">
        <v>217</v>
      </c>
      <c r="C34" s="1" t="s">
        <v>409</v>
      </c>
      <c r="D34" s="13">
        <v>810</v>
      </c>
      <c r="E34" s="11">
        <v>2.9</v>
      </c>
      <c r="F34">
        <v>500</v>
      </c>
      <c r="G34">
        <v>2.9</v>
      </c>
    </row>
    <row r="35" spans="1:7" x14ac:dyDescent="0.25">
      <c r="A35" s="2" t="s">
        <v>36</v>
      </c>
      <c r="B35" s="3" t="s">
        <v>218</v>
      </c>
      <c r="C35" s="1" t="s">
        <v>410</v>
      </c>
      <c r="D35" s="13">
        <v>4.5999999999999996</v>
      </c>
      <c r="E35" s="11">
        <v>2.1000000000000001E-2</v>
      </c>
      <c r="F35">
        <v>6.6</v>
      </c>
      <c r="G35">
        <v>2.1000000000000001E-2</v>
      </c>
    </row>
    <row r="36" spans="1:7" x14ac:dyDescent="0.25">
      <c r="A36" s="2" t="s">
        <v>37</v>
      </c>
      <c r="B36" s="3" t="s">
        <v>219</v>
      </c>
      <c r="D36" s="13">
        <v>0.2</v>
      </c>
      <c r="E36" s="11">
        <v>0.18</v>
      </c>
      <c r="F36">
        <v>17</v>
      </c>
      <c r="G36">
        <v>0.18</v>
      </c>
    </row>
    <row r="37" spans="1:7" x14ac:dyDescent="0.25">
      <c r="A37" s="4" t="s">
        <v>38</v>
      </c>
      <c r="B37" s="3" t="s">
        <v>220</v>
      </c>
      <c r="D37" s="13">
        <v>3.5000000000000003E-2</v>
      </c>
      <c r="E37" s="11">
        <v>8.3000000000000001E-3</v>
      </c>
      <c r="F37">
        <v>0.57999999999999996</v>
      </c>
      <c r="G37">
        <v>8.3000000000000001E-3</v>
      </c>
    </row>
    <row r="38" spans="1:7" x14ac:dyDescent="0.25">
      <c r="A38" s="2" t="s">
        <v>39</v>
      </c>
      <c r="B38" s="3" t="s">
        <v>221</v>
      </c>
      <c r="D38" s="13">
        <v>3.7</v>
      </c>
      <c r="E38" s="11">
        <v>1.4999999999999999E-2</v>
      </c>
      <c r="F38">
        <v>29</v>
      </c>
      <c r="G38">
        <v>1.4999999999999999E-2</v>
      </c>
    </row>
    <row r="39" spans="1:7" x14ac:dyDescent="0.25">
      <c r="A39" s="2" t="s">
        <v>40</v>
      </c>
      <c r="B39" s="3" t="s">
        <v>222</v>
      </c>
      <c r="C39" s="1" t="s">
        <v>40</v>
      </c>
      <c r="D39" s="13">
        <v>78</v>
      </c>
      <c r="E39" s="11">
        <v>0.46</v>
      </c>
      <c r="F39">
        <v>180</v>
      </c>
      <c r="G39">
        <v>0.46</v>
      </c>
    </row>
    <row r="40" spans="1:7" x14ac:dyDescent="0.25">
      <c r="A40" s="2" t="s">
        <v>41</v>
      </c>
      <c r="B40" s="3" t="s">
        <v>223</v>
      </c>
      <c r="C40" s="1" t="s">
        <v>41</v>
      </c>
      <c r="D40" s="13">
        <v>2.2000000000000002</v>
      </c>
      <c r="E40" s="11">
        <v>7.1000000000000004E-3</v>
      </c>
      <c r="F40">
        <v>2.9</v>
      </c>
      <c r="G40">
        <v>7.1000000000000004E-3</v>
      </c>
    </row>
    <row r="41" spans="1:7" x14ac:dyDescent="0.25">
      <c r="A41" s="2" t="s">
        <v>42</v>
      </c>
      <c r="B41" s="3" t="s">
        <v>224</v>
      </c>
      <c r="C41" s="1" t="s">
        <v>42</v>
      </c>
      <c r="D41" s="13">
        <v>190</v>
      </c>
      <c r="E41" s="11">
        <v>0.61</v>
      </c>
      <c r="F41">
        <v>120</v>
      </c>
      <c r="G41">
        <v>0.61</v>
      </c>
    </row>
    <row r="42" spans="1:7" x14ac:dyDescent="0.25">
      <c r="A42" s="2" t="s">
        <v>43</v>
      </c>
      <c r="B42" s="3" t="s">
        <v>225</v>
      </c>
      <c r="D42" s="13">
        <v>750</v>
      </c>
      <c r="E42" s="11">
        <v>26</v>
      </c>
      <c r="F42">
        <v>5100</v>
      </c>
      <c r="G42">
        <v>26</v>
      </c>
    </row>
    <row r="43" spans="1:7" x14ac:dyDescent="0.25">
      <c r="A43" s="2" t="s">
        <v>44</v>
      </c>
      <c r="B43" s="3" t="s">
        <v>226</v>
      </c>
      <c r="D43" s="13">
        <v>91</v>
      </c>
      <c r="E43" s="11">
        <v>0.71</v>
      </c>
      <c r="F43">
        <v>410</v>
      </c>
      <c r="G43">
        <v>0.71</v>
      </c>
    </row>
    <row r="44" spans="1:7" x14ac:dyDescent="0.25">
      <c r="A44" s="2" t="s">
        <v>45</v>
      </c>
      <c r="B44" s="3" t="s">
        <v>227</v>
      </c>
      <c r="D44" s="13">
        <v>22000</v>
      </c>
      <c r="E44" s="11">
        <v>100000</v>
      </c>
      <c r="F44">
        <v>100000</v>
      </c>
      <c r="G44">
        <v>100000</v>
      </c>
    </row>
    <row r="45" spans="1:7" x14ac:dyDescent="0.25">
      <c r="A45" s="2" t="s">
        <v>46</v>
      </c>
      <c r="B45" s="3" t="s">
        <v>228</v>
      </c>
      <c r="D45" s="13">
        <v>0.35</v>
      </c>
      <c r="E45" s="11">
        <v>8.8999999999999996E-2</v>
      </c>
      <c r="F45">
        <v>3.2</v>
      </c>
      <c r="G45">
        <v>8.8999999999999996E-2</v>
      </c>
    </row>
    <row r="46" spans="1:7" x14ac:dyDescent="0.25">
      <c r="A46" s="2" t="s">
        <v>47</v>
      </c>
      <c r="B46" s="3" t="s">
        <v>229</v>
      </c>
      <c r="C46" s="1" t="s">
        <v>423</v>
      </c>
      <c r="D46" s="13" t="s">
        <v>367</v>
      </c>
      <c r="E46" s="11" t="s">
        <v>367</v>
      </c>
      <c r="F46" t="s">
        <v>367</v>
      </c>
      <c r="G46" t="s">
        <v>367</v>
      </c>
    </row>
    <row r="47" spans="1:7" x14ac:dyDescent="0.25">
      <c r="A47" s="2" t="s">
        <v>48</v>
      </c>
      <c r="B47" s="3" t="s">
        <v>230</v>
      </c>
      <c r="C47" s="1" t="s">
        <v>48</v>
      </c>
      <c r="D47" s="13">
        <v>2</v>
      </c>
      <c r="E47" s="11">
        <v>82</v>
      </c>
      <c r="F47">
        <v>170</v>
      </c>
      <c r="G47">
        <v>82</v>
      </c>
    </row>
    <row r="48" spans="1:7" x14ac:dyDescent="0.25">
      <c r="A48" s="2" t="s">
        <v>49</v>
      </c>
      <c r="B48" s="3" t="s">
        <v>231</v>
      </c>
      <c r="D48" s="13">
        <v>800</v>
      </c>
      <c r="E48" s="11">
        <v>370</v>
      </c>
      <c r="F48">
        <v>3300</v>
      </c>
      <c r="G48">
        <v>370</v>
      </c>
    </row>
    <row r="49" spans="1:7" x14ac:dyDescent="0.25">
      <c r="A49" s="2" t="s">
        <v>50</v>
      </c>
      <c r="B49" s="3" t="s">
        <v>232</v>
      </c>
      <c r="D49" s="13">
        <v>930</v>
      </c>
      <c r="E49" s="11">
        <v>6.1</v>
      </c>
      <c r="F49">
        <v>3400</v>
      </c>
      <c r="G49">
        <v>6.1</v>
      </c>
    </row>
    <row r="50" spans="1:7" x14ac:dyDescent="0.25">
      <c r="A50" s="2" t="s">
        <v>51</v>
      </c>
      <c r="B50" s="3" t="s">
        <v>233</v>
      </c>
      <c r="D50" s="13">
        <v>930</v>
      </c>
      <c r="E50" s="11">
        <v>6.2</v>
      </c>
      <c r="F50">
        <v>3400</v>
      </c>
      <c r="G50">
        <v>6.2</v>
      </c>
    </row>
    <row r="51" spans="1:7" x14ac:dyDescent="0.25">
      <c r="A51" s="2" t="s">
        <v>52</v>
      </c>
      <c r="B51" s="3" t="s">
        <v>234</v>
      </c>
      <c r="D51" s="13">
        <v>1900</v>
      </c>
      <c r="E51" s="11">
        <v>12</v>
      </c>
      <c r="F51">
        <v>6700</v>
      </c>
      <c r="G51">
        <v>12</v>
      </c>
    </row>
    <row r="52" spans="1:7" x14ac:dyDescent="0.25">
      <c r="A52" s="2" t="s">
        <v>53</v>
      </c>
      <c r="B52" s="3" t="s">
        <v>235</v>
      </c>
      <c r="C52" s="1" t="s">
        <v>372</v>
      </c>
      <c r="D52" s="13">
        <v>450</v>
      </c>
      <c r="E52" s="11">
        <v>5.6</v>
      </c>
      <c r="F52">
        <v>54</v>
      </c>
      <c r="G52">
        <v>5.6</v>
      </c>
    </row>
    <row r="53" spans="1:7" x14ac:dyDescent="0.25">
      <c r="A53" s="2" t="s">
        <v>54</v>
      </c>
      <c r="B53" s="3" t="s">
        <v>236</v>
      </c>
      <c r="D53" s="13">
        <v>1.5</v>
      </c>
      <c r="E53" s="11">
        <v>0.2</v>
      </c>
      <c r="F53">
        <v>26</v>
      </c>
      <c r="G53">
        <v>0.2</v>
      </c>
    </row>
    <row r="54" spans="1:7" x14ac:dyDescent="0.25">
      <c r="A54" s="4" t="s">
        <v>55</v>
      </c>
      <c r="B54" s="3" t="s">
        <v>237</v>
      </c>
      <c r="D54" s="13">
        <v>13000</v>
      </c>
      <c r="E54" s="11">
        <v>150</v>
      </c>
      <c r="F54">
        <v>77</v>
      </c>
      <c r="G54">
        <v>150</v>
      </c>
    </row>
    <row r="55" spans="1:7" x14ac:dyDescent="0.25">
      <c r="A55" s="2" t="s">
        <v>56</v>
      </c>
      <c r="B55" s="3" t="s">
        <v>238</v>
      </c>
      <c r="C55" s="1" t="s">
        <v>416</v>
      </c>
      <c r="D55" s="13">
        <v>0.32</v>
      </c>
      <c r="E55" s="11">
        <v>0.49</v>
      </c>
      <c r="F55">
        <v>24</v>
      </c>
      <c r="G55">
        <v>0.49</v>
      </c>
    </row>
    <row r="56" spans="1:7" x14ac:dyDescent="0.25">
      <c r="A56" s="2" t="s">
        <v>57</v>
      </c>
      <c r="B56" s="3" t="s">
        <v>239</v>
      </c>
      <c r="C56" s="1" t="s">
        <v>417</v>
      </c>
      <c r="D56" s="13">
        <v>0.46</v>
      </c>
      <c r="E56" s="11">
        <v>0.72</v>
      </c>
      <c r="F56">
        <v>20</v>
      </c>
      <c r="G56">
        <v>0.72</v>
      </c>
    </row>
    <row r="57" spans="1:7" x14ac:dyDescent="0.25">
      <c r="A57" s="2" t="s">
        <v>58</v>
      </c>
      <c r="B57" s="3" t="s">
        <v>240</v>
      </c>
      <c r="C57" s="1" t="s">
        <v>418</v>
      </c>
      <c r="D57" s="13">
        <v>2.2999999999999998</v>
      </c>
      <c r="E57" s="11">
        <v>5.0999999999999996</v>
      </c>
      <c r="F57">
        <v>20</v>
      </c>
      <c r="G57">
        <v>5.0999999999999996</v>
      </c>
    </row>
    <row r="58" spans="1:7" x14ac:dyDescent="0.25">
      <c r="A58" s="2" t="s">
        <v>59</v>
      </c>
      <c r="B58" s="3" t="s">
        <v>241</v>
      </c>
      <c r="C58" s="1" t="s">
        <v>413</v>
      </c>
      <c r="D58" s="13">
        <v>3.4000000000000002E-2</v>
      </c>
      <c r="E58" s="11">
        <v>0.87</v>
      </c>
      <c r="F58">
        <v>0.17</v>
      </c>
      <c r="G58">
        <v>0.87</v>
      </c>
    </row>
    <row r="59" spans="1:7" x14ac:dyDescent="0.25">
      <c r="A59" s="2" t="s">
        <v>60</v>
      </c>
      <c r="B59" s="3" t="s">
        <v>242</v>
      </c>
      <c r="D59" s="13">
        <v>7.9</v>
      </c>
      <c r="E59" s="11">
        <v>0.97</v>
      </c>
      <c r="F59">
        <v>77</v>
      </c>
      <c r="G59">
        <v>0.97</v>
      </c>
    </row>
    <row r="60" spans="1:7" x14ac:dyDescent="0.25">
      <c r="A60" s="2" t="s">
        <v>61</v>
      </c>
      <c r="B60" s="3" t="s">
        <v>243</v>
      </c>
      <c r="C60" s="1" t="s">
        <v>61</v>
      </c>
      <c r="D60" s="13">
        <v>8.6999999999999993</v>
      </c>
      <c r="E60" s="11">
        <v>2.7000000000000001E-3</v>
      </c>
      <c r="F60">
        <v>88</v>
      </c>
      <c r="G60">
        <v>2.7000000000000001E-3</v>
      </c>
    </row>
    <row r="61" spans="1:7" x14ac:dyDescent="0.25">
      <c r="A61" s="2" t="s">
        <v>62</v>
      </c>
      <c r="B61" s="3" t="s">
        <v>244</v>
      </c>
      <c r="C61" s="1" t="s">
        <v>395</v>
      </c>
      <c r="D61" s="13">
        <v>7.4999999999999997E-2</v>
      </c>
      <c r="E61" s="11">
        <v>2.4000000000000001E-4</v>
      </c>
      <c r="F61">
        <v>0.31</v>
      </c>
      <c r="G61">
        <v>2.4000000000000001E-4</v>
      </c>
    </row>
    <row r="62" spans="1:7" ht="31.5" x14ac:dyDescent="0.25">
      <c r="A62" s="2" t="s">
        <v>63</v>
      </c>
      <c r="B62" s="3" t="s">
        <v>245</v>
      </c>
      <c r="C62" s="1" t="s">
        <v>414</v>
      </c>
      <c r="D62" s="13">
        <v>8.3000000000000007</v>
      </c>
      <c r="E62" s="11">
        <v>2.5000000000000001E-2</v>
      </c>
      <c r="F62">
        <v>22</v>
      </c>
      <c r="G62">
        <v>2.5000000000000001E-2</v>
      </c>
    </row>
    <row r="63" spans="1:7" x14ac:dyDescent="0.25">
      <c r="A63" s="2" t="s">
        <v>64</v>
      </c>
      <c r="B63" s="3" t="s">
        <v>246</v>
      </c>
      <c r="D63" s="13">
        <v>900</v>
      </c>
      <c r="E63" s="11">
        <v>16</v>
      </c>
      <c r="F63">
        <v>6700</v>
      </c>
      <c r="G63">
        <v>16</v>
      </c>
    </row>
    <row r="64" spans="1:7" x14ac:dyDescent="0.25">
      <c r="A64" s="2" t="s">
        <v>65</v>
      </c>
      <c r="B64" s="3" t="s">
        <v>247</v>
      </c>
      <c r="C64" s="1" t="s">
        <v>396</v>
      </c>
      <c r="D64" s="13">
        <v>300</v>
      </c>
      <c r="E64" s="11">
        <v>2.4</v>
      </c>
      <c r="F64">
        <v>78</v>
      </c>
      <c r="G64">
        <v>2.4</v>
      </c>
    </row>
    <row r="65" spans="1:7" x14ac:dyDescent="0.25">
      <c r="A65" s="2" t="s">
        <v>66</v>
      </c>
      <c r="B65" s="3" t="s">
        <v>248</v>
      </c>
      <c r="C65" s="1" t="s">
        <v>400</v>
      </c>
      <c r="D65" s="13">
        <v>300</v>
      </c>
      <c r="E65" s="11">
        <v>2.2999999999999998</v>
      </c>
      <c r="F65">
        <v>62</v>
      </c>
      <c r="G65">
        <v>2.2999999999999998</v>
      </c>
    </row>
    <row r="66" spans="1:7" x14ac:dyDescent="0.25">
      <c r="A66" s="2" t="s">
        <v>67</v>
      </c>
      <c r="B66" s="3" t="s">
        <v>249</v>
      </c>
      <c r="C66" s="1" t="s">
        <v>401</v>
      </c>
      <c r="D66" s="13">
        <v>4.8</v>
      </c>
      <c r="E66" s="11">
        <v>3.6999999999999998E-2</v>
      </c>
      <c r="F66">
        <v>15</v>
      </c>
      <c r="G66">
        <v>3.6999999999999998E-2</v>
      </c>
    </row>
    <row r="67" spans="1:7" x14ac:dyDescent="0.25">
      <c r="A67" s="2" t="s">
        <v>68</v>
      </c>
      <c r="B67" s="3" t="s">
        <v>250</v>
      </c>
      <c r="D67" s="13">
        <v>1.3</v>
      </c>
      <c r="E67" s="11">
        <v>5.6000000000000001E-2</v>
      </c>
      <c r="F67">
        <v>13</v>
      </c>
      <c r="G67">
        <v>5.6000000000000001E-2</v>
      </c>
    </row>
    <row r="68" spans="1:7" x14ac:dyDescent="0.25">
      <c r="A68" s="2" t="s">
        <v>69</v>
      </c>
      <c r="B68" s="3" t="s">
        <v>251</v>
      </c>
      <c r="C68" s="1" t="s">
        <v>69</v>
      </c>
      <c r="D68" s="13">
        <v>200</v>
      </c>
      <c r="E68" s="11">
        <v>3.9</v>
      </c>
      <c r="F68">
        <v>110</v>
      </c>
      <c r="G68">
        <v>3.9</v>
      </c>
    </row>
    <row r="69" spans="1:7" x14ac:dyDescent="0.25">
      <c r="A69" s="2" t="s">
        <v>70</v>
      </c>
      <c r="B69" s="3" t="s">
        <v>252</v>
      </c>
      <c r="C69" s="1" t="s">
        <v>389</v>
      </c>
      <c r="D69" s="13">
        <v>28</v>
      </c>
      <c r="E69" s="11">
        <v>9.1999999999999998E-2</v>
      </c>
      <c r="F69">
        <v>33</v>
      </c>
      <c r="G69">
        <v>9.1999999999999998E-2</v>
      </c>
    </row>
    <row r="70" spans="1:7" x14ac:dyDescent="0.25">
      <c r="A70" s="2" t="s">
        <v>71</v>
      </c>
      <c r="B70" s="3" t="s">
        <v>253</v>
      </c>
      <c r="C70" s="1" t="s">
        <v>397</v>
      </c>
      <c r="D70" s="13">
        <v>1.7</v>
      </c>
      <c r="E70" s="11">
        <v>5.4999999999999997E-3</v>
      </c>
      <c r="F70">
        <v>3.9</v>
      </c>
      <c r="G70">
        <v>5.4999999999999997E-3</v>
      </c>
    </row>
    <row r="71" spans="1:7" x14ac:dyDescent="0.25">
      <c r="A71" s="2" t="s">
        <v>72</v>
      </c>
      <c r="B71" s="3" t="s">
        <v>254</v>
      </c>
      <c r="C71" s="1" t="s">
        <v>390</v>
      </c>
      <c r="D71" s="13">
        <v>280</v>
      </c>
      <c r="E71" s="11">
        <v>1.2</v>
      </c>
      <c r="F71">
        <v>240</v>
      </c>
      <c r="G71">
        <v>1.2</v>
      </c>
    </row>
    <row r="72" spans="1:7" x14ac:dyDescent="0.25">
      <c r="A72" s="2" t="s">
        <v>73</v>
      </c>
      <c r="B72" s="3" t="s">
        <v>255</v>
      </c>
      <c r="C72" s="1" t="s">
        <v>412</v>
      </c>
      <c r="D72" s="13">
        <v>36</v>
      </c>
      <c r="E72" s="11">
        <v>0.12</v>
      </c>
      <c r="F72">
        <v>170</v>
      </c>
      <c r="G72">
        <v>0.12</v>
      </c>
    </row>
    <row r="73" spans="1:7" x14ac:dyDescent="0.25">
      <c r="A73" s="2" t="s">
        <v>74</v>
      </c>
      <c r="B73" s="3" t="s">
        <v>256</v>
      </c>
      <c r="C73" s="1" t="s">
        <v>380</v>
      </c>
      <c r="D73" s="13">
        <v>360</v>
      </c>
      <c r="E73" s="11">
        <v>1.3</v>
      </c>
      <c r="F73">
        <v>960</v>
      </c>
      <c r="G73">
        <v>1.3</v>
      </c>
    </row>
    <row r="74" spans="1:7" x14ac:dyDescent="0.25">
      <c r="A74" s="2" t="s">
        <v>75</v>
      </c>
      <c r="B74" s="3" t="s">
        <v>257</v>
      </c>
      <c r="D74" s="13">
        <v>46</v>
      </c>
      <c r="E74" s="11">
        <v>0.21</v>
      </c>
      <c r="F74">
        <v>200</v>
      </c>
      <c r="G74">
        <v>0.21</v>
      </c>
    </row>
    <row r="75" spans="1:7" ht="31.5" x14ac:dyDescent="0.25">
      <c r="A75" s="2" t="s">
        <v>76</v>
      </c>
      <c r="B75" s="3" t="s">
        <v>258</v>
      </c>
      <c r="D75" s="13">
        <v>170</v>
      </c>
      <c r="E75" s="11">
        <v>0.53</v>
      </c>
      <c r="F75">
        <v>740</v>
      </c>
      <c r="G75">
        <v>0.53</v>
      </c>
    </row>
    <row r="76" spans="1:7" x14ac:dyDescent="0.25">
      <c r="A76" s="2" t="s">
        <v>77</v>
      </c>
      <c r="B76" s="3" t="s">
        <v>259</v>
      </c>
      <c r="C76" s="1" t="s">
        <v>398</v>
      </c>
      <c r="D76" s="13">
        <v>4.4000000000000004</v>
      </c>
      <c r="E76" s="11">
        <v>1.6E-2</v>
      </c>
      <c r="F76">
        <v>8.6</v>
      </c>
      <c r="G76">
        <v>1.6E-2</v>
      </c>
    </row>
    <row r="77" spans="1:7" x14ac:dyDescent="0.25">
      <c r="A77" s="2" t="s">
        <v>78</v>
      </c>
      <c r="B77" s="3" t="s">
        <v>260</v>
      </c>
      <c r="C77" s="2" t="s">
        <v>435</v>
      </c>
      <c r="D77" s="13">
        <v>4.7</v>
      </c>
      <c r="E77" s="11">
        <v>1.7999999999999999E-2</v>
      </c>
      <c r="F77">
        <v>15</v>
      </c>
      <c r="G77">
        <v>1.7999999999999999E-2</v>
      </c>
    </row>
    <row r="78" spans="1:7" x14ac:dyDescent="0.25">
      <c r="A78" s="2" t="s">
        <v>79</v>
      </c>
      <c r="B78" s="3" t="s">
        <v>261</v>
      </c>
      <c r="C78" s="1" t="s">
        <v>79</v>
      </c>
      <c r="D78" s="13">
        <v>1.7999999999999999E-2</v>
      </c>
      <c r="E78" s="11">
        <v>4.7000000000000002E-3</v>
      </c>
      <c r="F78">
        <v>0.36</v>
      </c>
      <c r="G78">
        <v>4.7000000000000002E-3</v>
      </c>
    </row>
    <row r="79" spans="1:7" x14ac:dyDescent="0.25">
      <c r="A79" s="2" t="s">
        <v>80</v>
      </c>
      <c r="B79" s="3" t="s">
        <v>262</v>
      </c>
      <c r="D79" s="13">
        <v>15000</v>
      </c>
      <c r="E79" s="11">
        <v>60</v>
      </c>
      <c r="F79">
        <v>54000</v>
      </c>
      <c r="G79">
        <v>60</v>
      </c>
    </row>
    <row r="80" spans="1:7" x14ac:dyDescent="0.25">
      <c r="A80" s="2" t="s">
        <v>81</v>
      </c>
      <c r="B80" s="3" t="s">
        <v>263</v>
      </c>
      <c r="D80" s="13">
        <v>360</v>
      </c>
      <c r="E80" s="11">
        <v>3.2</v>
      </c>
      <c r="F80">
        <v>1300</v>
      </c>
      <c r="G80">
        <v>3.2</v>
      </c>
    </row>
    <row r="81" spans="1:7" x14ac:dyDescent="0.25">
      <c r="A81" s="2" t="s">
        <v>82</v>
      </c>
      <c r="B81" s="3" t="s">
        <v>264</v>
      </c>
      <c r="D81" s="13">
        <v>16000</v>
      </c>
      <c r="E81" s="11">
        <v>48</v>
      </c>
      <c r="F81">
        <v>54000</v>
      </c>
      <c r="G81">
        <v>48</v>
      </c>
    </row>
    <row r="82" spans="1:7" x14ac:dyDescent="0.25">
      <c r="A82" s="2" t="s">
        <v>83</v>
      </c>
      <c r="B82" s="3" t="s">
        <v>265</v>
      </c>
      <c r="D82" s="13">
        <v>1.9</v>
      </c>
      <c r="E82" s="11">
        <v>1.4E-2</v>
      </c>
      <c r="F82">
        <v>6.7</v>
      </c>
      <c r="G82">
        <v>1.4E-2</v>
      </c>
    </row>
    <row r="83" spans="1:7" x14ac:dyDescent="0.25">
      <c r="A83" s="2" t="s">
        <v>84</v>
      </c>
      <c r="B83" s="3" t="s">
        <v>266</v>
      </c>
      <c r="D83" s="13">
        <v>2</v>
      </c>
      <c r="E83" s="11">
        <v>1.4E-2</v>
      </c>
      <c r="F83">
        <v>6.7</v>
      </c>
      <c r="G83">
        <v>1.4E-2</v>
      </c>
    </row>
    <row r="84" spans="1:7" x14ac:dyDescent="0.25">
      <c r="A84" s="2" t="s">
        <v>85</v>
      </c>
      <c r="B84" s="3" t="s">
        <v>267</v>
      </c>
      <c r="D84" s="13">
        <v>2</v>
      </c>
      <c r="E84" s="11">
        <v>1.4E-2</v>
      </c>
      <c r="F84">
        <v>6.7</v>
      </c>
      <c r="G84">
        <v>1.4E-2</v>
      </c>
    </row>
    <row r="85" spans="1:7" x14ac:dyDescent="0.25">
      <c r="A85" s="2" t="s">
        <v>86</v>
      </c>
      <c r="B85" s="3" t="s">
        <v>268</v>
      </c>
      <c r="D85" s="13">
        <v>39</v>
      </c>
      <c r="E85" s="11">
        <v>0.34</v>
      </c>
      <c r="F85">
        <v>130</v>
      </c>
      <c r="G85">
        <v>0.34</v>
      </c>
    </row>
    <row r="86" spans="1:7" x14ac:dyDescent="0.25">
      <c r="A86" s="2" t="s">
        <v>87</v>
      </c>
      <c r="B86" s="3" t="s">
        <v>269</v>
      </c>
      <c r="D86" s="13">
        <v>2.4</v>
      </c>
      <c r="E86" s="11">
        <v>2.4E-2</v>
      </c>
      <c r="F86">
        <v>18</v>
      </c>
      <c r="G86">
        <v>2.4E-2</v>
      </c>
    </row>
    <row r="87" spans="1:7" x14ac:dyDescent="0.25">
      <c r="A87" s="2" t="s">
        <v>88</v>
      </c>
      <c r="B87" s="3" t="s">
        <v>270</v>
      </c>
      <c r="D87" s="13">
        <v>0.49</v>
      </c>
      <c r="E87" s="11">
        <v>5.0000000000000001E-3</v>
      </c>
      <c r="F87">
        <v>3.8</v>
      </c>
      <c r="G87">
        <v>5.0000000000000001E-3</v>
      </c>
    </row>
    <row r="88" spans="1:7" x14ac:dyDescent="0.25">
      <c r="A88" s="2" t="s">
        <v>89</v>
      </c>
      <c r="B88" s="3" t="s">
        <v>271</v>
      </c>
      <c r="D88" s="13">
        <v>39</v>
      </c>
      <c r="E88" s="11">
        <v>0.25</v>
      </c>
      <c r="F88">
        <v>160</v>
      </c>
      <c r="G88">
        <v>0.25</v>
      </c>
    </row>
    <row r="89" spans="1:7" x14ac:dyDescent="0.25">
      <c r="A89" s="2" t="s">
        <v>90</v>
      </c>
      <c r="B89" s="3" t="s">
        <v>272</v>
      </c>
      <c r="D89" s="13">
        <v>39</v>
      </c>
      <c r="E89" s="11">
        <v>0.25</v>
      </c>
      <c r="F89">
        <v>160</v>
      </c>
      <c r="G89">
        <v>0.25</v>
      </c>
    </row>
    <row r="90" spans="1:7" x14ac:dyDescent="0.25">
      <c r="A90" s="2" t="s">
        <v>91</v>
      </c>
      <c r="B90" s="3" t="s">
        <v>273</v>
      </c>
      <c r="D90" s="13">
        <v>4.5999999999999996</v>
      </c>
      <c r="E90" s="11">
        <v>1.2E-2</v>
      </c>
      <c r="F90">
        <v>59</v>
      </c>
      <c r="G90">
        <v>1.2E-2</v>
      </c>
    </row>
    <row r="91" spans="1:7" x14ac:dyDescent="0.25">
      <c r="A91" s="2" t="s">
        <v>92</v>
      </c>
      <c r="B91" s="3" t="s">
        <v>274</v>
      </c>
      <c r="D91" s="13">
        <v>310</v>
      </c>
      <c r="E91" s="11">
        <v>4.3</v>
      </c>
      <c r="F91">
        <v>1700</v>
      </c>
      <c r="G91">
        <v>4.3</v>
      </c>
    </row>
    <row r="92" spans="1:7" x14ac:dyDescent="0.25">
      <c r="A92" s="2" t="s">
        <v>93</v>
      </c>
      <c r="B92" s="3" t="s">
        <v>275</v>
      </c>
      <c r="D92" s="13">
        <v>100</v>
      </c>
      <c r="E92" s="11">
        <v>9.3000000000000007</v>
      </c>
      <c r="F92">
        <v>500</v>
      </c>
      <c r="G92">
        <v>9.3000000000000007</v>
      </c>
    </row>
    <row r="93" spans="1:7" x14ac:dyDescent="0.25">
      <c r="A93" s="2" t="s">
        <v>94</v>
      </c>
      <c r="B93" s="3" t="s">
        <v>276</v>
      </c>
      <c r="C93" s="1" t="s">
        <v>94</v>
      </c>
      <c r="D93" s="13">
        <v>2.2999999999999998</v>
      </c>
      <c r="E93" s="11">
        <v>0.61</v>
      </c>
      <c r="F93">
        <v>20</v>
      </c>
      <c r="G93">
        <v>0.61</v>
      </c>
    </row>
    <row r="94" spans="1:7" x14ac:dyDescent="0.25">
      <c r="A94" s="2" t="s">
        <v>95</v>
      </c>
      <c r="B94" s="3" t="s">
        <v>277</v>
      </c>
      <c r="C94" s="1" t="s">
        <v>411</v>
      </c>
      <c r="D94" s="13">
        <v>21000</v>
      </c>
      <c r="E94" s="11">
        <v>72</v>
      </c>
      <c r="F94">
        <v>1400</v>
      </c>
      <c r="G94">
        <v>72</v>
      </c>
    </row>
    <row r="95" spans="1:7" x14ac:dyDescent="0.25">
      <c r="A95" s="2" t="s">
        <v>96</v>
      </c>
      <c r="B95" s="3" t="s">
        <v>278</v>
      </c>
      <c r="C95" s="1" t="s">
        <v>96</v>
      </c>
      <c r="D95" s="13">
        <v>15</v>
      </c>
      <c r="E95" s="11">
        <v>0.13</v>
      </c>
      <c r="F95">
        <v>35</v>
      </c>
      <c r="G95">
        <v>0.13</v>
      </c>
    </row>
    <row r="96" spans="1:7" x14ac:dyDescent="0.25">
      <c r="A96" s="2" t="s">
        <v>97</v>
      </c>
      <c r="B96" s="3" t="s">
        <v>279</v>
      </c>
      <c r="D96" s="13">
        <v>40000</v>
      </c>
      <c r="E96" s="11">
        <v>110</v>
      </c>
      <c r="F96">
        <v>100000</v>
      </c>
      <c r="G96">
        <v>110</v>
      </c>
    </row>
    <row r="97" spans="1:7" x14ac:dyDescent="0.25">
      <c r="A97" s="2" t="s">
        <v>98</v>
      </c>
      <c r="B97" s="3" t="s">
        <v>280</v>
      </c>
      <c r="C97" s="1" t="s">
        <v>98</v>
      </c>
      <c r="D97" s="13">
        <v>260</v>
      </c>
      <c r="E97" s="11">
        <v>590</v>
      </c>
      <c r="F97">
        <v>2500</v>
      </c>
      <c r="G97">
        <v>590</v>
      </c>
    </row>
    <row r="98" spans="1:7" x14ac:dyDescent="0.25">
      <c r="A98" s="2" t="s">
        <v>99</v>
      </c>
      <c r="B98" s="3" t="s">
        <v>281</v>
      </c>
      <c r="C98" s="1" t="s">
        <v>99</v>
      </c>
      <c r="D98" s="13">
        <v>290</v>
      </c>
      <c r="E98" s="11">
        <v>36</v>
      </c>
      <c r="F98">
        <v>2500</v>
      </c>
      <c r="G98">
        <v>36</v>
      </c>
    </row>
    <row r="99" spans="1:7" x14ac:dyDescent="0.25">
      <c r="A99" s="2" t="s">
        <v>100</v>
      </c>
      <c r="B99" s="3" t="s">
        <v>282</v>
      </c>
      <c r="D99" s="13">
        <v>4.3</v>
      </c>
      <c r="E99" s="11">
        <v>1.0999999999999999E-2</v>
      </c>
      <c r="F99">
        <v>210</v>
      </c>
      <c r="G99">
        <v>1.0999999999999999E-2</v>
      </c>
    </row>
    <row r="100" spans="1:7" x14ac:dyDescent="0.25">
      <c r="A100" s="2" t="s">
        <v>101</v>
      </c>
      <c r="B100" s="3" t="s">
        <v>283</v>
      </c>
      <c r="C100" s="1" t="s">
        <v>101</v>
      </c>
      <c r="D100" s="13">
        <v>1.4E-2</v>
      </c>
      <c r="E100" s="11">
        <v>7.6E-3</v>
      </c>
      <c r="F100">
        <v>1.3</v>
      </c>
      <c r="G100">
        <v>7.6E-3</v>
      </c>
    </row>
    <row r="101" spans="1:7" x14ac:dyDescent="0.25">
      <c r="A101" s="2" t="s">
        <v>102</v>
      </c>
      <c r="B101" s="3" t="s">
        <v>284</v>
      </c>
      <c r="C101" s="1" t="s">
        <v>425</v>
      </c>
      <c r="D101" s="13">
        <v>1.4E-2</v>
      </c>
      <c r="E101" s="11">
        <v>1.9E-3</v>
      </c>
      <c r="F101">
        <v>0.69</v>
      </c>
      <c r="G101">
        <v>1.9E-3</v>
      </c>
    </row>
    <row r="102" spans="1:7" x14ac:dyDescent="0.25">
      <c r="A102" s="2" t="s">
        <v>103</v>
      </c>
      <c r="B102" s="3" t="s">
        <v>285</v>
      </c>
      <c r="D102" s="13">
        <v>9.8000000000000004E-2</v>
      </c>
      <c r="E102" s="11">
        <v>8.2000000000000007E-3</v>
      </c>
      <c r="F102">
        <v>1.5</v>
      </c>
      <c r="G102">
        <v>8.2000000000000007E-3</v>
      </c>
    </row>
    <row r="103" spans="1:7" x14ac:dyDescent="0.25">
      <c r="A103" s="2" t="s">
        <v>104</v>
      </c>
      <c r="B103" s="3" t="s">
        <v>286</v>
      </c>
      <c r="C103" s="1" t="s">
        <v>104</v>
      </c>
      <c r="D103" s="13">
        <v>1.4</v>
      </c>
      <c r="E103" s="11">
        <v>0.02</v>
      </c>
      <c r="F103">
        <v>3.3</v>
      </c>
      <c r="G103">
        <v>0.02</v>
      </c>
    </row>
    <row r="104" spans="1:7" x14ac:dyDescent="0.25">
      <c r="A104" s="2" t="s">
        <v>105</v>
      </c>
      <c r="B104" s="3" t="s">
        <v>287</v>
      </c>
      <c r="C104" s="1" t="s">
        <v>419</v>
      </c>
      <c r="D104" s="13">
        <v>7.1999999999999995E-2</v>
      </c>
      <c r="E104" s="11">
        <v>2.8999999999999998E-3</v>
      </c>
      <c r="F104">
        <v>0.91</v>
      </c>
      <c r="G104">
        <v>2.8999999999999998E-3</v>
      </c>
    </row>
    <row r="105" spans="1:7" x14ac:dyDescent="0.25">
      <c r="A105" s="2" t="s">
        <v>106</v>
      </c>
      <c r="B105" s="3" t="s">
        <v>288</v>
      </c>
      <c r="C105" s="1" t="s">
        <v>421</v>
      </c>
      <c r="D105" s="13">
        <v>0.25</v>
      </c>
      <c r="E105" s="11">
        <v>0.01</v>
      </c>
      <c r="F105">
        <v>3.2</v>
      </c>
      <c r="G105">
        <v>0.01</v>
      </c>
    </row>
    <row r="106" spans="1:7" ht="31.5" x14ac:dyDescent="0.25">
      <c r="A106" s="2" t="s">
        <v>107</v>
      </c>
      <c r="B106" s="3" t="s">
        <v>289</v>
      </c>
      <c r="C106" s="1" t="s">
        <v>424</v>
      </c>
      <c r="D106" s="13">
        <v>0.42</v>
      </c>
      <c r="E106" s="11">
        <v>1.6E-2</v>
      </c>
      <c r="F106">
        <v>6</v>
      </c>
      <c r="G106">
        <v>1.6E-2</v>
      </c>
    </row>
    <row r="107" spans="1:7" x14ac:dyDescent="0.25">
      <c r="A107" s="2" t="s">
        <v>108</v>
      </c>
      <c r="B107" s="3" t="s">
        <v>290</v>
      </c>
      <c r="D107" s="13">
        <v>0.41</v>
      </c>
      <c r="E107" s="11">
        <v>9.2999999999999992E-3</v>
      </c>
      <c r="F107">
        <v>1</v>
      </c>
      <c r="G107">
        <v>9.2999999999999992E-3</v>
      </c>
    </row>
    <row r="108" spans="1:7" x14ac:dyDescent="0.25">
      <c r="A108" s="2" t="s">
        <v>109</v>
      </c>
      <c r="B108" s="3" t="s">
        <v>291</v>
      </c>
      <c r="D108" s="13">
        <v>3.3</v>
      </c>
      <c r="E108" s="11">
        <v>1.7999999999999999E-2</v>
      </c>
      <c r="F108">
        <v>12</v>
      </c>
      <c r="G108">
        <v>1.7999999999999999E-2</v>
      </c>
    </row>
    <row r="109" spans="1:7" ht="31.5" x14ac:dyDescent="0.25">
      <c r="A109" s="2" t="s">
        <v>110</v>
      </c>
      <c r="B109" s="3" t="s">
        <v>292</v>
      </c>
      <c r="D109" s="13">
        <v>7</v>
      </c>
      <c r="E109" s="11">
        <v>2.7E-2</v>
      </c>
      <c r="F109">
        <v>64</v>
      </c>
      <c r="G109">
        <v>2.7E-2</v>
      </c>
    </row>
    <row r="110" spans="1:7" x14ac:dyDescent="0.25">
      <c r="A110" s="4" t="s">
        <v>111</v>
      </c>
      <c r="B110" s="3" t="s">
        <v>293</v>
      </c>
      <c r="D110" s="13">
        <v>1500</v>
      </c>
      <c r="E110" s="11">
        <v>130</v>
      </c>
      <c r="F110">
        <v>130</v>
      </c>
      <c r="G110">
        <v>130</v>
      </c>
    </row>
    <row r="111" spans="1:7" x14ac:dyDescent="0.25">
      <c r="A111" s="4" t="s">
        <v>112</v>
      </c>
      <c r="B111" s="3" t="s">
        <v>294</v>
      </c>
      <c r="C111" s="1" t="s">
        <v>404</v>
      </c>
      <c r="D111" s="13">
        <v>38</v>
      </c>
      <c r="E111" s="11">
        <v>0.11</v>
      </c>
      <c r="F111">
        <v>210</v>
      </c>
      <c r="G111">
        <v>0.11</v>
      </c>
    </row>
    <row r="112" spans="1:7" x14ac:dyDescent="0.25">
      <c r="A112" s="2" t="s">
        <v>113</v>
      </c>
      <c r="B112" s="3" t="s">
        <v>295</v>
      </c>
      <c r="D112" s="13">
        <v>1.0999999999999999E-2</v>
      </c>
      <c r="E112" s="11">
        <v>2.9E-5</v>
      </c>
      <c r="F112">
        <v>0.4</v>
      </c>
      <c r="G112">
        <v>2.9E-5</v>
      </c>
    </row>
    <row r="113" spans="1:7" x14ac:dyDescent="0.25">
      <c r="A113" s="2" t="s">
        <v>114</v>
      </c>
      <c r="B113" s="3" t="s">
        <v>296</v>
      </c>
      <c r="C113" s="1" t="s">
        <v>371</v>
      </c>
      <c r="D113" s="13">
        <v>0.19</v>
      </c>
      <c r="E113" s="11">
        <v>8.8000000000000007</v>
      </c>
      <c r="F113">
        <v>1.7</v>
      </c>
      <c r="G113">
        <v>8.8000000000000007</v>
      </c>
    </row>
    <row r="114" spans="1:7" x14ac:dyDescent="0.25">
      <c r="A114" s="2" t="s">
        <v>115</v>
      </c>
      <c r="B114" s="3" t="s">
        <v>297</v>
      </c>
      <c r="D114" s="13">
        <v>780</v>
      </c>
      <c r="E114" s="11">
        <v>2.7</v>
      </c>
      <c r="F114">
        <v>6100</v>
      </c>
      <c r="G114">
        <v>2.7</v>
      </c>
    </row>
    <row r="115" spans="1:7" x14ac:dyDescent="0.25">
      <c r="A115" s="4" t="s">
        <v>116</v>
      </c>
      <c r="B115" s="3" t="s">
        <v>298</v>
      </c>
      <c r="D115" s="13">
        <v>410</v>
      </c>
      <c r="E115" s="11">
        <v>1.1000000000000001</v>
      </c>
      <c r="F115">
        <v>6800</v>
      </c>
      <c r="G115">
        <v>1.1000000000000001</v>
      </c>
    </row>
    <row r="116" spans="1:7" x14ac:dyDescent="0.25">
      <c r="A116" s="2" t="s">
        <v>117</v>
      </c>
      <c r="B116" s="3" t="s">
        <v>299</v>
      </c>
      <c r="C116" s="1" t="s">
        <v>426</v>
      </c>
      <c r="D116" s="13">
        <v>15</v>
      </c>
      <c r="E116" s="11" t="s">
        <v>368</v>
      </c>
      <c r="F116">
        <v>400</v>
      </c>
      <c r="G116">
        <v>800</v>
      </c>
    </row>
    <row r="117" spans="1:7" x14ac:dyDescent="0.25">
      <c r="A117" s="2" t="s">
        <v>118</v>
      </c>
      <c r="B117" s="3" t="s">
        <v>300</v>
      </c>
      <c r="D117" s="13">
        <v>5.7</v>
      </c>
      <c r="E117" s="11">
        <v>3.9</v>
      </c>
      <c r="F117">
        <v>25</v>
      </c>
      <c r="G117">
        <v>3.9</v>
      </c>
    </row>
    <row r="118" spans="1:7" x14ac:dyDescent="0.25">
      <c r="A118" s="2" t="s">
        <v>119</v>
      </c>
      <c r="B118" s="3" t="s">
        <v>301</v>
      </c>
      <c r="C118" s="1" t="s">
        <v>427</v>
      </c>
      <c r="D118" s="13">
        <v>0.52</v>
      </c>
      <c r="E118" s="11">
        <v>0.36</v>
      </c>
      <c r="F118">
        <v>3.1</v>
      </c>
      <c r="G118">
        <v>0.36</v>
      </c>
    </row>
    <row r="119" spans="1:7" x14ac:dyDescent="0.25">
      <c r="A119" s="4" t="s">
        <v>120</v>
      </c>
      <c r="B119" s="3" t="s">
        <v>302</v>
      </c>
      <c r="D119" s="13">
        <v>20000</v>
      </c>
      <c r="E119" s="11">
        <v>54</v>
      </c>
      <c r="F119">
        <v>100000</v>
      </c>
      <c r="G119">
        <v>54</v>
      </c>
    </row>
    <row r="120" spans="1:7" x14ac:dyDescent="0.25">
      <c r="A120" s="2" t="s">
        <v>121</v>
      </c>
      <c r="B120" s="3" t="s">
        <v>303</v>
      </c>
      <c r="C120" s="1" t="s">
        <v>121</v>
      </c>
      <c r="D120" s="13">
        <v>37</v>
      </c>
      <c r="E120" s="11">
        <v>13</v>
      </c>
      <c r="F120">
        <v>340</v>
      </c>
      <c r="G120">
        <v>13</v>
      </c>
    </row>
    <row r="121" spans="1:7" ht="31.5" x14ac:dyDescent="0.25">
      <c r="A121" s="2" t="s">
        <v>122</v>
      </c>
      <c r="B121" s="3" t="s">
        <v>304</v>
      </c>
      <c r="C121" s="1" t="s">
        <v>403</v>
      </c>
      <c r="D121" s="13">
        <v>5600</v>
      </c>
      <c r="E121" s="11">
        <v>15</v>
      </c>
      <c r="F121">
        <v>23000</v>
      </c>
      <c r="G121">
        <v>15</v>
      </c>
    </row>
    <row r="122" spans="1:7" ht="31.5" x14ac:dyDescent="0.25">
      <c r="A122" s="2" t="s">
        <v>123</v>
      </c>
      <c r="B122" s="3" t="s">
        <v>305</v>
      </c>
      <c r="C122" s="1" t="s">
        <v>406</v>
      </c>
      <c r="D122" s="13">
        <v>6300</v>
      </c>
      <c r="E122" s="11">
        <v>18</v>
      </c>
      <c r="F122">
        <v>2200</v>
      </c>
      <c r="G122">
        <v>18</v>
      </c>
    </row>
    <row r="123" spans="1:7" x14ac:dyDescent="0.25">
      <c r="A123" s="2" t="s">
        <v>124</v>
      </c>
      <c r="B123" s="3" t="s">
        <v>306</v>
      </c>
      <c r="D123" s="13">
        <v>2</v>
      </c>
      <c r="E123" s="11">
        <v>180</v>
      </c>
      <c r="F123">
        <v>8.3000000000000007</v>
      </c>
      <c r="G123">
        <v>180</v>
      </c>
    </row>
    <row r="124" spans="1:7" x14ac:dyDescent="0.25">
      <c r="A124" s="2" t="s">
        <v>125</v>
      </c>
      <c r="B124" s="3" t="s">
        <v>307</v>
      </c>
      <c r="C124" s="1" t="s">
        <v>374</v>
      </c>
      <c r="D124" s="13">
        <v>140</v>
      </c>
      <c r="E124" s="11">
        <v>0.4</v>
      </c>
      <c r="F124">
        <v>480</v>
      </c>
      <c r="G124">
        <v>0.4</v>
      </c>
    </row>
    <row r="125" spans="1:7" x14ac:dyDescent="0.25">
      <c r="A125" s="2" t="s">
        <v>126</v>
      </c>
      <c r="B125" s="3" t="s">
        <v>308</v>
      </c>
      <c r="C125" s="1" t="s">
        <v>373</v>
      </c>
      <c r="D125" s="13">
        <v>110</v>
      </c>
      <c r="E125" s="11">
        <v>0.33</v>
      </c>
      <c r="F125">
        <v>360</v>
      </c>
      <c r="G125">
        <v>0.33</v>
      </c>
    </row>
    <row r="126" spans="1:7" x14ac:dyDescent="0.25">
      <c r="A126" s="2" t="s">
        <v>127</v>
      </c>
      <c r="B126" s="3" t="s">
        <v>309</v>
      </c>
      <c r="C126" s="1" t="s">
        <v>402</v>
      </c>
      <c r="D126" s="13">
        <v>11</v>
      </c>
      <c r="E126" s="11">
        <v>0.41</v>
      </c>
      <c r="F126">
        <v>68</v>
      </c>
      <c r="G126">
        <v>0.41</v>
      </c>
    </row>
    <row r="127" spans="1:7" x14ac:dyDescent="0.25">
      <c r="A127" s="2" t="s">
        <v>128</v>
      </c>
      <c r="B127" s="3" t="s">
        <v>310</v>
      </c>
      <c r="C127" s="1" t="s">
        <v>405</v>
      </c>
      <c r="D127" s="13">
        <v>36</v>
      </c>
      <c r="E127" s="11">
        <v>1.3</v>
      </c>
      <c r="F127">
        <v>250</v>
      </c>
      <c r="G127">
        <v>1.3</v>
      </c>
    </row>
    <row r="128" spans="1:7" x14ac:dyDescent="0.25">
      <c r="A128" s="2" t="s">
        <v>129</v>
      </c>
      <c r="B128" s="3" t="s">
        <v>311</v>
      </c>
      <c r="C128" s="1" t="s">
        <v>129</v>
      </c>
      <c r="D128" s="13">
        <v>1.7</v>
      </c>
      <c r="E128" s="11">
        <v>3.7999999999999999E-2</v>
      </c>
      <c r="F128">
        <v>20</v>
      </c>
      <c r="G128">
        <v>3.7999999999999999E-2</v>
      </c>
    </row>
    <row r="129" spans="1:7" x14ac:dyDescent="0.25">
      <c r="A129" s="2" t="s">
        <v>130</v>
      </c>
      <c r="B129" s="3" t="s">
        <v>312</v>
      </c>
      <c r="C129" s="1" t="s">
        <v>428</v>
      </c>
      <c r="D129" s="13">
        <v>390</v>
      </c>
      <c r="E129" s="11">
        <v>340</v>
      </c>
      <c r="F129">
        <v>1700</v>
      </c>
      <c r="G129">
        <v>340</v>
      </c>
    </row>
    <row r="130" spans="1:7" x14ac:dyDescent="0.25">
      <c r="A130" s="2" t="s">
        <v>131</v>
      </c>
      <c r="B130" s="3" t="s">
        <v>313</v>
      </c>
      <c r="D130" s="13">
        <v>1.4</v>
      </c>
      <c r="E130" s="11">
        <v>7.9000000000000008E-3</v>
      </c>
      <c r="F130">
        <v>31</v>
      </c>
      <c r="G130">
        <v>7.9000000000000008E-3</v>
      </c>
    </row>
    <row r="131" spans="1:7" x14ac:dyDescent="0.25">
      <c r="A131" s="2" t="s">
        <v>132</v>
      </c>
      <c r="B131" s="3" t="s">
        <v>314</v>
      </c>
      <c r="D131" s="13">
        <v>2</v>
      </c>
      <c r="E131" s="11">
        <v>8.2000000000000007E-3</v>
      </c>
      <c r="F131">
        <v>6.7</v>
      </c>
      <c r="G131">
        <v>8.2000000000000007E-3</v>
      </c>
    </row>
    <row r="132" spans="1:7" x14ac:dyDescent="0.25">
      <c r="A132" s="2" t="s">
        <v>133</v>
      </c>
      <c r="B132" s="3" t="s">
        <v>315</v>
      </c>
      <c r="D132" s="13">
        <v>2000</v>
      </c>
      <c r="E132" s="11">
        <v>5.8</v>
      </c>
      <c r="F132">
        <v>6700</v>
      </c>
      <c r="G132">
        <v>5.8</v>
      </c>
    </row>
    <row r="133" spans="1:7" x14ac:dyDescent="0.25">
      <c r="A133" s="2" t="s">
        <v>134</v>
      </c>
      <c r="B133" s="3" t="s">
        <v>316</v>
      </c>
      <c r="D133" s="13">
        <v>1.1000000000000001E-3</v>
      </c>
      <c r="E133" s="11">
        <v>3.3000000000000002E-6</v>
      </c>
      <c r="F133">
        <v>0.02</v>
      </c>
      <c r="G133">
        <v>3.3000000000000002E-6</v>
      </c>
    </row>
    <row r="134" spans="1:7" x14ac:dyDescent="0.25">
      <c r="A134" s="2" t="s">
        <v>135</v>
      </c>
      <c r="B134" s="3" t="s">
        <v>317</v>
      </c>
      <c r="D134" s="13">
        <v>0.11</v>
      </c>
      <c r="E134" s="11">
        <v>6.8000000000000005E-4</v>
      </c>
      <c r="F134">
        <v>0.82</v>
      </c>
      <c r="G134">
        <v>6.8000000000000005E-4</v>
      </c>
    </row>
    <row r="135" spans="1:7" x14ac:dyDescent="0.25">
      <c r="A135" s="2" t="s">
        <v>136</v>
      </c>
      <c r="B135" s="3" t="s">
        <v>318</v>
      </c>
      <c r="D135" s="13">
        <v>120</v>
      </c>
      <c r="E135" s="11">
        <v>4.5999999999999996</v>
      </c>
      <c r="F135">
        <v>1200</v>
      </c>
      <c r="G135">
        <v>4.5999999999999996</v>
      </c>
    </row>
    <row r="136" spans="1:7" x14ac:dyDescent="0.25">
      <c r="A136" s="2" t="s">
        <v>137</v>
      </c>
      <c r="B136" s="3" t="s">
        <v>319</v>
      </c>
      <c r="D136" s="13">
        <v>1.7</v>
      </c>
      <c r="E136" s="11">
        <v>1.2999999999999999E-2</v>
      </c>
      <c r="F136">
        <v>6.7</v>
      </c>
      <c r="G136">
        <v>1.2999999999999999E-2</v>
      </c>
    </row>
    <row r="137" spans="1:7" x14ac:dyDescent="0.25">
      <c r="A137" s="2" t="s">
        <v>138</v>
      </c>
      <c r="B137" s="3" t="s">
        <v>320</v>
      </c>
      <c r="D137" s="13">
        <v>3.1</v>
      </c>
      <c r="E137" s="11">
        <v>2.4E-2</v>
      </c>
      <c r="F137">
        <v>34</v>
      </c>
      <c r="G137">
        <v>2.4E-2</v>
      </c>
    </row>
    <row r="138" spans="1:7" x14ac:dyDescent="0.25">
      <c r="A138" s="2" t="s">
        <v>139</v>
      </c>
      <c r="B138" s="3" t="s">
        <v>321</v>
      </c>
      <c r="D138" s="13">
        <v>43</v>
      </c>
      <c r="E138" s="11">
        <v>0.32</v>
      </c>
      <c r="F138">
        <v>270</v>
      </c>
      <c r="G138">
        <v>0.32</v>
      </c>
    </row>
    <row r="139" spans="1:7" ht="31.5" x14ac:dyDescent="0.25">
      <c r="A139" s="2" t="s">
        <v>140</v>
      </c>
      <c r="B139" s="3" t="s">
        <v>322</v>
      </c>
      <c r="D139" s="13">
        <v>1000</v>
      </c>
      <c r="E139" s="11">
        <v>9.6999999999999993</v>
      </c>
      <c r="F139">
        <v>4100</v>
      </c>
      <c r="G139">
        <v>9.6999999999999993</v>
      </c>
    </row>
    <row r="140" spans="1:7" x14ac:dyDescent="0.25">
      <c r="A140" s="2" t="s">
        <v>141</v>
      </c>
      <c r="B140" s="3" t="s">
        <v>323</v>
      </c>
      <c r="D140" s="13">
        <v>22</v>
      </c>
      <c r="E140" s="11">
        <v>370</v>
      </c>
      <c r="F140">
        <v>670</v>
      </c>
      <c r="G140">
        <v>370</v>
      </c>
    </row>
    <row r="141" spans="1:7" x14ac:dyDescent="0.25">
      <c r="A141" s="2" t="s">
        <v>142</v>
      </c>
      <c r="B141" s="3" t="s">
        <v>324</v>
      </c>
      <c r="D141" s="13">
        <v>0.41</v>
      </c>
      <c r="E141" s="11">
        <v>4.3E-3</v>
      </c>
      <c r="F141">
        <v>11</v>
      </c>
      <c r="G141">
        <v>4.3E-3</v>
      </c>
    </row>
    <row r="142" spans="1:7" ht="31.5" x14ac:dyDescent="0.25">
      <c r="A142" s="4" t="s">
        <v>143</v>
      </c>
      <c r="B142" s="3" t="s">
        <v>325</v>
      </c>
      <c r="D142" s="13">
        <v>39</v>
      </c>
      <c r="E142" s="11">
        <v>0.43</v>
      </c>
      <c r="F142">
        <v>130</v>
      </c>
      <c r="G142">
        <v>0.43</v>
      </c>
    </row>
    <row r="143" spans="1:7" ht="31.5" x14ac:dyDescent="0.25">
      <c r="A143" s="4" t="s">
        <v>144</v>
      </c>
      <c r="B143" s="3" t="s">
        <v>326</v>
      </c>
      <c r="D143" s="13">
        <v>0.4</v>
      </c>
      <c r="E143" s="11">
        <v>3.0000000000000001E-3</v>
      </c>
      <c r="F143">
        <v>1.3</v>
      </c>
      <c r="G143">
        <v>3.0000000000000001E-3</v>
      </c>
    </row>
    <row r="144" spans="1:7" x14ac:dyDescent="0.25">
      <c r="A144" s="4" t="s">
        <v>145</v>
      </c>
      <c r="B144" s="3" t="s">
        <v>327</v>
      </c>
      <c r="D144" s="13">
        <v>0.4</v>
      </c>
      <c r="E144" s="11">
        <v>1.6999999999999999E-3</v>
      </c>
      <c r="F144">
        <v>1.3</v>
      </c>
      <c r="G144">
        <v>1.6999999999999999E-3</v>
      </c>
    </row>
    <row r="145" spans="1:7" x14ac:dyDescent="0.25">
      <c r="A145" s="2" t="s">
        <v>146</v>
      </c>
      <c r="B145" s="3" t="s">
        <v>328</v>
      </c>
      <c r="C145" s="1" t="s">
        <v>146</v>
      </c>
      <c r="D145" s="13">
        <v>170</v>
      </c>
      <c r="E145" s="11">
        <v>39</v>
      </c>
      <c r="F145">
        <v>1900</v>
      </c>
      <c r="G145">
        <v>39</v>
      </c>
    </row>
    <row r="146" spans="1:7" x14ac:dyDescent="0.25">
      <c r="A146" s="2" t="s">
        <v>147</v>
      </c>
      <c r="B146" s="3" t="s">
        <v>329</v>
      </c>
      <c r="D146" s="13">
        <v>5800</v>
      </c>
      <c r="E146" s="11">
        <v>29</v>
      </c>
      <c r="F146">
        <v>20000</v>
      </c>
      <c r="G146">
        <v>29</v>
      </c>
    </row>
    <row r="147" spans="1:7" x14ac:dyDescent="0.25">
      <c r="A147" s="2" t="s">
        <v>148</v>
      </c>
      <c r="B147" s="3" t="s">
        <v>330</v>
      </c>
      <c r="D147" s="13">
        <v>0.4</v>
      </c>
      <c r="E147" s="11">
        <v>0.02</v>
      </c>
      <c r="F147">
        <v>1.7</v>
      </c>
      <c r="G147">
        <v>0.02</v>
      </c>
    </row>
    <row r="148" spans="1:7" ht="31.5" x14ac:dyDescent="0.25">
      <c r="A148" s="2" t="s">
        <v>149</v>
      </c>
      <c r="B148" s="3" t="s">
        <v>331</v>
      </c>
      <c r="D148" s="13">
        <v>0.5</v>
      </c>
      <c r="E148" s="11" t="s">
        <v>368</v>
      </c>
      <c r="F148">
        <v>1</v>
      </c>
      <c r="G148">
        <v>1</v>
      </c>
    </row>
    <row r="149" spans="1:7" x14ac:dyDescent="0.25">
      <c r="A149" s="2" t="s">
        <v>150</v>
      </c>
      <c r="B149" s="3" t="s">
        <v>332</v>
      </c>
      <c r="C149" s="1" t="s">
        <v>376</v>
      </c>
      <c r="D149" s="13">
        <v>660</v>
      </c>
      <c r="E149" s="11">
        <v>9.1</v>
      </c>
      <c r="F149">
        <v>52</v>
      </c>
      <c r="G149">
        <v>9.1</v>
      </c>
    </row>
    <row r="150" spans="1:7" x14ac:dyDescent="0.25">
      <c r="A150" s="2" t="s">
        <v>151</v>
      </c>
      <c r="B150" s="3" t="s">
        <v>333</v>
      </c>
      <c r="C150" s="1" t="s">
        <v>151</v>
      </c>
      <c r="D150" s="13">
        <v>120</v>
      </c>
      <c r="E150" s="11">
        <v>87</v>
      </c>
      <c r="F150">
        <v>1900</v>
      </c>
      <c r="G150">
        <v>87</v>
      </c>
    </row>
    <row r="151" spans="1:7" x14ac:dyDescent="0.25">
      <c r="A151" s="2" t="s">
        <v>152</v>
      </c>
      <c r="B151" s="3" t="s">
        <v>334</v>
      </c>
      <c r="C151" s="1" t="s">
        <v>152</v>
      </c>
      <c r="D151" s="13">
        <v>100</v>
      </c>
      <c r="E151" s="11">
        <v>6.9</v>
      </c>
      <c r="F151">
        <v>410</v>
      </c>
      <c r="G151">
        <v>6.9</v>
      </c>
    </row>
    <row r="152" spans="1:7" x14ac:dyDescent="0.25">
      <c r="A152" s="2" t="s">
        <v>153</v>
      </c>
      <c r="B152" s="3" t="s">
        <v>335</v>
      </c>
      <c r="C152" s="1" t="s">
        <v>153</v>
      </c>
      <c r="D152" s="13">
        <v>94</v>
      </c>
      <c r="E152" s="11">
        <v>11</v>
      </c>
      <c r="F152">
        <v>410</v>
      </c>
      <c r="G152">
        <v>11</v>
      </c>
    </row>
    <row r="153" spans="1:7" x14ac:dyDescent="0.25">
      <c r="A153" s="2" t="s">
        <v>154</v>
      </c>
      <c r="B153" s="3" t="s">
        <v>336</v>
      </c>
      <c r="C153" s="1" t="s">
        <v>154</v>
      </c>
      <c r="D153" s="13">
        <v>1200</v>
      </c>
      <c r="E153" s="11">
        <v>10</v>
      </c>
      <c r="F153">
        <v>180</v>
      </c>
      <c r="G153">
        <v>10</v>
      </c>
    </row>
    <row r="154" spans="1:7" x14ac:dyDescent="0.25">
      <c r="A154" s="2" t="s">
        <v>155</v>
      </c>
      <c r="B154" s="3" t="s">
        <v>337</v>
      </c>
      <c r="D154" s="13">
        <v>1.1999999999999999E-6</v>
      </c>
      <c r="E154" s="11">
        <v>3.8999999999999999E-6</v>
      </c>
      <c r="F154">
        <v>4.8999999999999998E-5</v>
      </c>
      <c r="G154">
        <v>3.8999999999999999E-6</v>
      </c>
    </row>
    <row r="155" spans="1:7" x14ac:dyDescent="0.25">
      <c r="A155" s="4" t="s">
        <v>156</v>
      </c>
      <c r="B155" s="3" t="s">
        <v>338</v>
      </c>
      <c r="C155" s="1" t="s">
        <v>385</v>
      </c>
      <c r="D155" s="13">
        <v>5.7</v>
      </c>
      <c r="E155" s="11">
        <v>2.1999999999999999E-2</v>
      </c>
      <c r="F155">
        <v>15</v>
      </c>
      <c r="G155">
        <v>2.1999999999999999E-2</v>
      </c>
    </row>
    <row r="156" spans="1:7" x14ac:dyDescent="0.25">
      <c r="A156" s="2" t="s">
        <v>157</v>
      </c>
      <c r="B156" s="3" t="s">
        <v>339</v>
      </c>
      <c r="C156" s="1" t="s">
        <v>387</v>
      </c>
      <c r="D156" s="13">
        <v>0.76</v>
      </c>
      <c r="E156" s="11">
        <v>3.0000000000000001E-3</v>
      </c>
      <c r="F156">
        <v>4.4000000000000004</v>
      </c>
      <c r="G156">
        <v>3.0000000000000001E-3</v>
      </c>
    </row>
    <row r="157" spans="1:7" x14ac:dyDescent="0.25">
      <c r="A157" s="2" t="s">
        <v>158</v>
      </c>
      <c r="B157" s="3" t="s">
        <v>340</v>
      </c>
      <c r="C157" s="1" t="s">
        <v>379</v>
      </c>
      <c r="D157" s="13">
        <v>41</v>
      </c>
      <c r="E157" s="11">
        <v>0.19</v>
      </c>
      <c r="F157">
        <v>68</v>
      </c>
      <c r="G157">
        <v>0.19</v>
      </c>
    </row>
    <row r="158" spans="1:7" ht="47.25" x14ac:dyDescent="0.25">
      <c r="A158" s="2" t="s">
        <v>159</v>
      </c>
      <c r="B158" s="3" t="s">
        <v>341</v>
      </c>
      <c r="D158" s="13">
        <v>39</v>
      </c>
      <c r="E158" s="11">
        <v>2.5</v>
      </c>
      <c r="F158">
        <v>170</v>
      </c>
      <c r="G158">
        <v>2.5</v>
      </c>
    </row>
    <row r="159" spans="1:7" x14ac:dyDescent="0.25">
      <c r="A159" s="2" t="s">
        <v>160</v>
      </c>
      <c r="B159" s="3" t="s">
        <v>342</v>
      </c>
      <c r="D159" s="13">
        <v>0.2</v>
      </c>
      <c r="E159" s="11">
        <v>0.19</v>
      </c>
      <c r="F159">
        <v>0.83</v>
      </c>
      <c r="G159">
        <v>0.19</v>
      </c>
    </row>
    <row r="160" spans="1:7" x14ac:dyDescent="0.25">
      <c r="A160" s="2" t="s">
        <v>161</v>
      </c>
      <c r="B160" s="3" t="s">
        <v>343</v>
      </c>
      <c r="C160" s="1" t="s">
        <v>161</v>
      </c>
      <c r="D160" s="13">
        <v>1100</v>
      </c>
      <c r="E160" s="11">
        <v>6.7</v>
      </c>
      <c r="F160">
        <v>200</v>
      </c>
      <c r="G160">
        <v>6.7</v>
      </c>
    </row>
    <row r="161" spans="1:7" x14ac:dyDescent="0.25">
      <c r="A161" s="2" t="s">
        <v>162</v>
      </c>
      <c r="B161" s="3" t="s">
        <v>344</v>
      </c>
      <c r="C161" s="1" t="s">
        <v>162</v>
      </c>
      <c r="D161" s="13">
        <v>0.71</v>
      </c>
      <c r="E161" s="11">
        <v>0.72</v>
      </c>
      <c r="F161">
        <v>5.2</v>
      </c>
      <c r="G161">
        <v>0.72</v>
      </c>
    </row>
    <row r="162" spans="1:7" ht="31.5" x14ac:dyDescent="0.25">
      <c r="A162" s="2" t="s">
        <v>163</v>
      </c>
      <c r="B162" s="3" t="s">
        <v>345</v>
      </c>
      <c r="C162" s="1" t="s">
        <v>415</v>
      </c>
      <c r="D162" s="13">
        <v>55000</v>
      </c>
      <c r="E162" s="11">
        <v>1700</v>
      </c>
      <c r="F162">
        <v>740</v>
      </c>
      <c r="G162">
        <v>1700</v>
      </c>
    </row>
    <row r="163" spans="1:7" x14ac:dyDescent="0.25">
      <c r="A163" s="4" t="s">
        <v>164</v>
      </c>
      <c r="B163" s="3" t="s">
        <v>346</v>
      </c>
      <c r="C163" s="1" t="s">
        <v>391</v>
      </c>
      <c r="D163" s="13">
        <v>7</v>
      </c>
      <c r="E163" s="11">
        <v>0.15</v>
      </c>
      <c r="F163">
        <v>66</v>
      </c>
      <c r="G163">
        <v>0.15</v>
      </c>
    </row>
    <row r="164" spans="1:7" x14ac:dyDescent="0.25">
      <c r="A164" s="2" t="s">
        <v>165</v>
      </c>
      <c r="B164" s="3" t="s">
        <v>347</v>
      </c>
      <c r="C164" s="1" t="s">
        <v>393</v>
      </c>
      <c r="D164" s="13">
        <v>4</v>
      </c>
      <c r="E164" s="11">
        <v>8.2000000000000003E-2</v>
      </c>
      <c r="F164">
        <v>32</v>
      </c>
      <c r="G164">
        <v>8.2000000000000003E-2</v>
      </c>
    </row>
    <row r="165" spans="1:7" x14ac:dyDescent="0.25">
      <c r="A165" s="2" t="s">
        <v>166</v>
      </c>
      <c r="B165" s="3" t="s">
        <v>348</v>
      </c>
      <c r="C165" s="1" t="s">
        <v>386</v>
      </c>
      <c r="D165" s="13">
        <v>8000</v>
      </c>
      <c r="E165" s="11">
        <v>32</v>
      </c>
      <c r="F165">
        <v>360</v>
      </c>
      <c r="G165">
        <v>32</v>
      </c>
    </row>
    <row r="166" spans="1:7" x14ac:dyDescent="0.25">
      <c r="A166" s="2" t="s">
        <v>167</v>
      </c>
      <c r="B166" s="3" t="s">
        <v>349</v>
      </c>
      <c r="C166" s="1" t="s">
        <v>388</v>
      </c>
      <c r="D166" s="13">
        <v>0.41</v>
      </c>
      <c r="E166" s="11">
        <v>1.4E-3</v>
      </c>
      <c r="F166">
        <v>1.2</v>
      </c>
      <c r="G166">
        <v>1.4E-3</v>
      </c>
    </row>
    <row r="167" spans="1:7" x14ac:dyDescent="0.25">
      <c r="A167" s="2" t="s">
        <v>168</v>
      </c>
      <c r="B167" s="3" t="s">
        <v>350</v>
      </c>
      <c r="C167" s="1" t="s">
        <v>381</v>
      </c>
      <c r="D167" s="13">
        <v>2.8</v>
      </c>
      <c r="E167" s="11">
        <v>1.0999999999999999E-2</v>
      </c>
      <c r="F167">
        <v>3.5</v>
      </c>
      <c r="G167">
        <v>1.0999999999999999E-2</v>
      </c>
    </row>
    <row r="168" spans="1:7" x14ac:dyDescent="0.25">
      <c r="A168" s="2" t="s">
        <v>169</v>
      </c>
      <c r="B168" s="3" t="s">
        <v>351</v>
      </c>
      <c r="C168" s="1" t="s">
        <v>169</v>
      </c>
      <c r="D168" s="13">
        <v>5200</v>
      </c>
      <c r="E168" s="11">
        <v>41</v>
      </c>
      <c r="F168">
        <v>980</v>
      </c>
      <c r="G168">
        <v>41</v>
      </c>
    </row>
    <row r="169" spans="1:7" x14ac:dyDescent="0.25">
      <c r="A169" s="2" t="s">
        <v>170</v>
      </c>
      <c r="B169" s="3" t="s">
        <v>352</v>
      </c>
      <c r="D169" s="13">
        <v>1200</v>
      </c>
      <c r="E169" s="11">
        <v>28</v>
      </c>
      <c r="F169">
        <v>6700</v>
      </c>
      <c r="G169">
        <v>28</v>
      </c>
    </row>
    <row r="170" spans="1:7" x14ac:dyDescent="0.25">
      <c r="A170" s="2" t="s">
        <v>171</v>
      </c>
      <c r="B170" s="3" t="s">
        <v>353</v>
      </c>
      <c r="D170" s="13">
        <v>12</v>
      </c>
      <c r="E170" s="11">
        <v>9.1999999999999998E-2</v>
      </c>
      <c r="F170">
        <v>67</v>
      </c>
      <c r="G170">
        <v>9.1999999999999998E-2</v>
      </c>
    </row>
    <row r="171" spans="1:7" ht="31.5" x14ac:dyDescent="0.25">
      <c r="A171" s="4" t="s">
        <v>172</v>
      </c>
      <c r="B171" s="3" t="s">
        <v>354</v>
      </c>
      <c r="D171" s="13">
        <v>160</v>
      </c>
      <c r="E171" s="11">
        <v>0.66</v>
      </c>
      <c r="F171">
        <v>670</v>
      </c>
      <c r="G171">
        <v>0.66</v>
      </c>
    </row>
    <row r="172" spans="1:7" ht="31.5" x14ac:dyDescent="0.25">
      <c r="A172" s="2" t="s">
        <v>173</v>
      </c>
      <c r="B172" s="3" t="s">
        <v>355</v>
      </c>
      <c r="D172" s="13">
        <v>110</v>
      </c>
      <c r="E172" s="11">
        <v>0.55000000000000004</v>
      </c>
      <c r="F172">
        <v>540</v>
      </c>
      <c r="G172">
        <v>0.55000000000000004</v>
      </c>
    </row>
    <row r="173" spans="1:7" x14ac:dyDescent="0.25">
      <c r="A173" s="2" t="s">
        <v>174</v>
      </c>
      <c r="B173" s="3" t="s">
        <v>356</v>
      </c>
      <c r="C173" s="1" t="s">
        <v>392</v>
      </c>
      <c r="D173" s="13">
        <v>7.4999999999999997E-3</v>
      </c>
      <c r="E173" s="11">
        <v>3.1000000000000001E-5</v>
      </c>
      <c r="F173">
        <v>5.3999999999999999E-2</v>
      </c>
      <c r="G173">
        <v>3.1000000000000001E-5</v>
      </c>
    </row>
    <row r="174" spans="1:7" x14ac:dyDescent="0.25">
      <c r="A174" s="2" t="s">
        <v>175</v>
      </c>
      <c r="B174" s="3" t="s">
        <v>357</v>
      </c>
      <c r="C174" s="1" t="s">
        <v>394</v>
      </c>
      <c r="D174" s="13">
        <v>15</v>
      </c>
      <c r="E174" s="11">
        <v>0.16</v>
      </c>
      <c r="F174">
        <v>33</v>
      </c>
      <c r="G174">
        <v>0.16</v>
      </c>
    </row>
    <row r="175" spans="1:7" x14ac:dyDescent="0.25">
      <c r="A175" s="2" t="s">
        <v>176</v>
      </c>
      <c r="B175" s="3" t="s">
        <v>358</v>
      </c>
      <c r="C175" s="1" t="s">
        <v>399</v>
      </c>
      <c r="D175" s="13">
        <v>120</v>
      </c>
      <c r="E175" s="11">
        <v>1.3</v>
      </c>
      <c r="F175">
        <v>37</v>
      </c>
      <c r="G175">
        <v>1.3</v>
      </c>
    </row>
    <row r="176" spans="1:7" x14ac:dyDescent="0.25">
      <c r="A176" s="2" t="s">
        <v>177</v>
      </c>
      <c r="B176" s="3" t="s">
        <v>359</v>
      </c>
      <c r="D176" s="13">
        <v>3.7</v>
      </c>
      <c r="E176" s="11">
        <v>0.68</v>
      </c>
      <c r="F176">
        <v>25</v>
      </c>
      <c r="G176">
        <v>0.68</v>
      </c>
    </row>
    <row r="177" spans="1:7" x14ac:dyDescent="0.25">
      <c r="A177" s="2" t="s">
        <v>178</v>
      </c>
      <c r="B177" s="3" t="s">
        <v>360</v>
      </c>
      <c r="D177" s="13">
        <v>590</v>
      </c>
      <c r="E177" s="11">
        <v>15</v>
      </c>
      <c r="F177">
        <v>2400</v>
      </c>
      <c r="G177">
        <v>15</v>
      </c>
    </row>
    <row r="178" spans="1:7" x14ac:dyDescent="0.25">
      <c r="A178" s="2" t="s">
        <v>179</v>
      </c>
      <c r="B178" s="3" t="s">
        <v>361</v>
      </c>
      <c r="D178" s="13">
        <v>9.8000000000000007</v>
      </c>
      <c r="E178" s="11">
        <v>0.39</v>
      </c>
      <c r="F178">
        <v>39</v>
      </c>
      <c r="G178">
        <v>0.39</v>
      </c>
    </row>
    <row r="179" spans="1:7" x14ac:dyDescent="0.25">
      <c r="A179" s="2" t="s">
        <v>180</v>
      </c>
      <c r="B179" s="3" t="s">
        <v>362</v>
      </c>
      <c r="C179" s="1" t="s">
        <v>429</v>
      </c>
      <c r="D179" s="13">
        <v>86</v>
      </c>
      <c r="E179" s="11">
        <v>1100</v>
      </c>
      <c r="F179">
        <v>420</v>
      </c>
      <c r="G179">
        <v>1100</v>
      </c>
    </row>
    <row r="180" spans="1:7" x14ac:dyDescent="0.25">
      <c r="A180" s="2" t="s">
        <v>181</v>
      </c>
      <c r="B180" s="3" t="s">
        <v>363</v>
      </c>
      <c r="C180" s="1" t="s">
        <v>382</v>
      </c>
      <c r="D180" s="13">
        <v>410</v>
      </c>
      <c r="E180" s="11">
        <v>1.1000000000000001</v>
      </c>
      <c r="F180">
        <v>1100</v>
      </c>
      <c r="G180">
        <v>1.1000000000000001</v>
      </c>
    </row>
    <row r="181" spans="1:7" x14ac:dyDescent="0.25">
      <c r="A181" s="2" t="s">
        <v>182</v>
      </c>
      <c r="B181" s="3" t="s">
        <v>364</v>
      </c>
      <c r="C181" s="1" t="s">
        <v>383</v>
      </c>
      <c r="D181" s="13">
        <v>0.19</v>
      </c>
      <c r="E181" s="11">
        <v>8.0000000000000004E-4</v>
      </c>
      <c r="F181">
        <v>0.61</v>
      </c>
      <c r="G181">
        <v>8.0000000000000004E-4</v>
      </c>
    </row>
    <row r="182" spans="1:7" x14ac:dyDescent="0.25">
      <c r="A182" s="2" t="s">
        <v>183</v>
      </c>
      <c r="B182" s="3" t="s">
        <v>365</v>
      </c>
      <c r="C182" s="1" t="s">
        <v>384</v>
      </c>
      <c r="D182" s="13">
        <v>190</v>
      </c>
      <c r="E182" s="11">
        <v>1.5</v>
      </c>
      <c r="F182">
        <v>57</v>
      </c>
      <c r="G182">
        <v>1.5</v>
      </c>
    </row>
    <row r="183" spans="1:7" ht="16.5" thickBot="1" x14ac:dyDescent="0.3">
      <c r="A183" s="5" t="s">
        <v>184</v>
      </c>
      <c r="B183" s="6" t="s">
        <v>366</v>
      </c>
      <c r="C183" s="7"/>
      <c r="D183" s="25">
        <v>6000</v>
      </c>
      <c r="E183" s="26">
        <v>4900</v>
      </c>
      <c r="F183" s="22">
        <v>25000</v>
      </c>
      <c r="G183">
        <v>4900</v>
      </c>
    </row>
    <row r="184" spans="1:7" x14ac:dyDescent="0.25">
      <c r="A184" s="9" t="s">
        <v>436</v>
      </c>
      <c r="B184" s="8"/>
      <c r="C184" s="10"/>
      <c r="D184" s="14"/>
      <c r="E184" s="16"/>
    </row>
    <row r="185" spans="1:7" x14ac:dyDescent="0.25">
      <c r="A185" s="2" t="s">
        <v>369</v>
      </c>
      <c r="B185" s="3" t="s">
        <v>432</v>
      </c>
      <c r="C185" s="1" t="s">
        <v>369</v>
      </c>
      <c r="D185" s="15">
        <v>250</v>
      </c>
      <c r="E185" s="15">
        <v>250</v>
      </c>
      <c r="F185">
        <v>250</v>
      </c>
      <c r="G185">
        <v>250</v>
      </c>
    </row>
    <row r="186" spans="1:7" x14ac:dyDescent="0.25">
      <c r="A186" s="2" t="s">
        <v>370</v>
      </c>
      <c r="B186" s="3" t="s">
        <v>434</v>
      </c>
      <c r="C186" s="1" t="s">
        <v>370</v>
      </c>
      <c r="D186" s="15">
        <v>300</v>
      </c>
      <c r="E186" s="15">
        <v>300</v>
      </c>
      <c r="F186">
        <v>300</v>
      </c>
      <c r="G186">
        <v>300</v>
      </c>
    </row>
    <row r="187" spans="1:7" x14ac:dyDescent="0.25">
      <c r="A187" s="2" t="s">
        <v>430</v>
      </c>
      <c r="B187" s="3" t="s">
        <v>433</v>
      </c>
      <c r="C187" s="1" t="s">
        <v>430</v>
      </c>
      <c r="D187" s="15">
        <v>1100</v>
      </c>
      <c r="E187" s="15">
        <v>1100</v>
      </c>
      <c r="F187">
        <v>1100</v>
      </c>
      <c r="G187">
        <v>1100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AnalyteNameSets"/>
  <dimension ref="A1:A3"/>
  <sheetViews>
    <sheetView workbookViewId="0">
      <selection activeCell="Q30" sqref="Q30"/>
    </sheetView>
  </sheetViews>
  <sheetFormatPr defaultRowHeight="15.75" x14ac:dyDescent="0.25"/>
  <cols>
    <col min="1" max="1" width="19.5" customWidth="1"/>
  </cols>
  <sheetData>
    <row r="1" spans="1:1" x14ac:dyDescent="0.25">
      <c r="A1" t="s">
        <v>463</v>
      </c>
    </row>
    <row r="2" spans="1:1" x14ac:dyDescent="0.25">
      <c r="A2" t="s">
        <v>461</v>
      </c>
    </row>
    <row r="3" spans="1:1" x14ac:dyDescent="0.25">
      <c r="A3" t="s">
        <v>462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asAnalyteName"/>
  <dimension ref="A1:D186"/>
  <sheetViews>
    <sheetView topLeftCell="A111" workbookViewId="0">
      <selection activeCell="A18" sqref="A18:C18"/>
    </sheetView>
  </sheetViews>
  <sheetFormatPr defaultRowHeight="15.75" x14ac:dyDescent="0.25"/>
  <cols>
    <col min="1" max="1" width="12.125" customWidth="1"/>
    <col min="2" max="2" width="20.25" customWidth="1"/>
    <col min="3" max="3" width="38.125" customWidth="1"/>
    <col min="4" max="4" width="51" customWidth="1"/>
    <col min="5" max="5" width="14" customWidth="1"/>
  </cols>
  <sheetData>
    <row r="1" spans="1:4" x14ac:dyDescent="0.25">
      <c r="A1" s="1" t="s">
        <v>2</v>
      </c>
      <c r="B1" t="s">
        <v>479</v>
      </c>
      <c r="C1" s="1" t="s">
        <v>461</v>
      </c>
      <c r="D1" t="s">
        <v>462</v>
      </c>
    </row>
    <row r="2" spans="1:4" x14ac:dyDescent="0.25">
      <c r="A2" s="3" t="s">
        <v>185</v>
      </c>
      <c r="C2" s="1" t="s">
        <v>3</v>
      </c>
      <c r="D2" s="2" t="s">
        <v>3</v>
      </c>
    </row>
    <row r="3" spans="1:4" x14ac:dyDescent="0.25">
      <c r="A3" s="3" t="s">
        <v>186</v>
      </c>
      <c r="C3" s="1" t="s">
        <v>4</v>
      </c>
      <c r="D3" s="2" t="s">
        <v>4</v>
      </c>
    </row>
    <row r="4" spans="1:4" x14ac:dyDescent="0.25">
      <c r="A4" s="3" t="s">
        <v>187</v>
      </c>
      <c r="C4" s="1"/>
      <c r="D4" s="2" t="s">
        <v>5</v>
      </c>
    </row>
    <row r="5" spans="1:4" x14ac:dyDescent="0.25">
      <c r="A5" s="3" t="s">
        <v>188</v>
      </c>
      <c r="C5" s="1" t="s">
        <v>6</v>
      </c>
      <c r="D5" s="2" t="s">
        <v>6</v>
      </c>
    </row>
    <row r="6" spans="1:4" x14ac:dyDescent="0.25">
      <c r="A6" s="3" t="s">
        <v>189</v>
      </c>
      <c r="C6" s="1"/>
      <c r="D6" s="2" t="s">
        <v>7</v>
      </c>
    </row>
    <row r="7" spans="1:4" x14ac:dyDescent="0.25">
      <c r="A7" s="3" t="s">
        <v>190</v>
      </c>
      <c r="C7" s="1" t="s">
        <v>8</v>
      </c>
      <c r="D7" s="2" t="s">
        <v>8</v>
      </c>
    </row>
    <row r="8" spans="1:4" x14ac:dyDescent="0.25">
      <c r="A8" s="3" t="s">
        <v>191</v>
      </c>
      <c r="C8" s="1"/>
      <c r="D8" s="2" t="s">
        <v>9</v>
      </c>
    </row>
    <row r="9" spans="1:4" x14ac:dyDescent="0.25">
      <c r="A9" s="3" t="s">
        <v>192</v>
      </c>
      <c r="C9" s="1" t="s">
        <v>420</v>
      </c>
      <c r="D9" s="2" t="s">
        <v>10</v>
      </c>
    </row>
    <row r="10" spans="1:4" x14ac:dyDescent="0.25">
      <c r="A10" s="3" t="s">
        <v>193</v>
      </c>
      <c r="C10" s="1" t="s">
        <v>11</v>
      </c>
      <c r="D10" s="2" t="s">
        <v>11</v>
      </c>
    </row>
    <row r="11" spans="1:4" x14ac:dyDescent="0.25">
      <c r="A11" s="3" t="s">
        <v>194</v>
      </c>
      <c r="C11" s="1" t="s">
        <v>407</v>
      </c>
      <c r="D11" s="2" t="s">
        <v>12</v>
      </c>
    </row>
    <row r="12" spans="1:4" x14ac:dyDescent="0.25">
      <c r="A12" s="3" t="s">
        <v>195</v>
      </c>
      <c r="C12" s="1"/>
      <c r="D12" s="4" t="s">
        <v>13</v>
      </c>
    </row>
    <row r="13" spans="1:4" x14ac:dyDescent="0.25">
      <c r="A13" s="3" t="s">
        <v>196</v>
      </c>
      <c r="C13" s="1" t="s">
        <v>14</v>
      </c>
      <c r="D13" s="2" t="s">
        <v>14</v>
      </c>
    </row>
    <row r="14" spans="1:4" x14ac:dyDescent="0.25">
      <c r="A14" s="3" t="s">
        <v>197</v>
      </c>
      <c r="C14" s="1" t="s">
        <v>15</v>
      </c>
      <c r="D14" s="2" t="s">
        <v>15</v>
      </c>
    </row>
    <row r="15" spans="1:4" x14ac:dyDescent="0.25">
      <c r="A15" s="3" t="s">
        <v>198</v>
      </c>
      <c r="C15" s="1" t="s">
        <v>408</v>
      </c>
      <c r="D15" s="2" t="s">
        <v>16</v>
      </c>
    </row>
    <row r="16" spans="1:4" x14ac:dyDescent="0.25">
      <c r="A16" s="3" t="s">
        <v>199</v>
      </c>
      <c r="C16" s="1" t="s">
        <v>17</v>
      </c>
      <c r="D16" s="2" t="s">
        <v>17</v>
      </c>
    </row>
    <row r="17" spans="1:4" x14ac:dyDescent="0.25">
      <c r="A17" s="3" t="s">
        <v>200</v>
      </c>
      <c r="C17" s="1" t="s">
        <v>18</v>
      </c>
      <c r="D17" s="2" t="s">
        <v>18</v>
      </c>
    </row>
    <row r="18" spans="1:4" x14ac:dyDescent="0.25">
      <c r="A18" s="3" t="s">
        <v>201</v>
      </c>
      <c r="C18" s="1"/>
      <c r="D18" s="2" t="s">
        <v>19</v>
      </c>
    </row>
    <row r="19" spans="1:4" x14ac:dyDescent="0.25">
      <c r="A19" s="3" t="s">
        <v>202</v>
      </c>
      <c r="C19" s="1"/>
      <c r="D19" s="4" t="s">
        <v>20</v>
      </c>
    </row>
    <row r="20" spans="1:4" x14ac:dyDescent="0.25">
      <c r="A20" s="3" t="s">
        <v>203</v>
      </c>
      <c r="C20" s="1"/>
      <c r="D20" s="2" t="s">
        <v>21</v>
      </c>
    </row>
    <row r="21" spans="1:4" x14ac:dyDescent="0.25">
      <c r="A21" s="3" t="s">
        <v>204</v>
      </c>
      <c r="C21" s="1"/>
      <c r="D21" s="2" t="s">
        <v>22</v>
      </c>
    </row>
    <row r="22" spans="1:4" x14ac:dyDescent="0.25">
      <c r="A22" s="3" t="s">
        <v>205</v>
      </c>
      <c r="C22" s="1"/>
      <c r="D22" s="2" t="s">
        <v>23</v>
      </c>
    </row>
    <row r="23" spans="1:4" x14ac:dyDescent="0.25">
      <c r="A23" s="3" t="s">
        <v>206</v>
      </c>
      <c r="C23" s="1" t="s">
        <v>24</v>
      </c>
      <c r="D23" s="4" t="s">
        <v>24</v>
      </c>
    </row>
    <row r="24" spans="1:4" x14ac:dyDescent="0.25">
      <c r="A24" s="3" t="s">
        <v>207</v>
      </c>
      <c r="C24" s="1" t="s">
        <v>25</v>
      </c>
      <c r="D24" s="2" t="s">
        <v>25</v>
      </c>
    </row>
    <row r="25" spans="1:4" x14ac:dyDescent="0.25">
      <c r="A25" s="3" t="s">
        <v>208</v>
      </c>
      <c r="C25" s="1" t="s">
        <v>26</v>
      </c>
      <c r="D25" s="2" t="s">
        <v>26</v>
      </c>
    </row>
    <row r="26" spans="1:4" x14ac:dyDescent="0.25">
      <c r="A26" s="3" t="s">
        <v>209</v>
      </c>
      <c r="C26" s="1" t="s">
        <v>27</v>
      </c>
      <c r="D26" s="2" t="s">
        <v>27</v>
      </c>
    </row>
    <row r="27" spans="1:4" x14ac:dyDescent="0.25">
      <c r="A27" s="3" t="s">
        <v>210</v>
      </c>
      <c r="C27" s="1"/>
      <c r="D27" s="4" t="s">
        <v>28</v>
      </c>
    </row>
    <row r="28" spans="1:4" x14ac:dyDescent="0.25">
      <c r="A28" s="3" t="s">
        <v>211</v>
      </c>
      <c r="C28" s="1"/>
      <c r="D28" s="2" t="s">
        <v>29</v>
      </c>
    </row>
    <row r="29" spans="1:4" x14ac:dyDescent="0.25">
      <c r="A29" s="3" t="s">
        <v>212</v>
      </c>
      <c r="C29" s="1"/>
      <c r="D29" s="2" t="s">
        <v>30</v>
      </c>
    </row>
    <row r="30" spans="1:4" x14ac:dyDescent="0.25">
      <c r="A30" s="3" t="s">
        <v>213</v>
      </c>
      <c r="C30" s="1" t="s">
        <v>375</v>
      </c>
      <c r="D30" s="2" t="s">
        <v>31</v>
      </c>
    </row>
    <row r="31" spans="1:4" x14ac:dyDescent="0.25">
      <c r="A31" s="3" t="s">
        <v>214</v>
      </c>
      <c r="C31" s="1" t="s">
        <v>377</v>
      </c>
      <c r="D31" s="2" t="s">
        <v>32</v>
      </c>
    </row>
    <row r="32" spans="1:4" x14ac:dyDescent="0.25">
      <c r="A32" s="3" t="s">
        <v>215</v>
      </c>
      <c r="C32" s="1" t="s">
        <v>378</v>
      </c>
      <c r="D32" s="2" t="s">
        <v>33</v>
      </c>
    </row>
    <row r="33" spans="1:4" x14ac:dyDescent="0.25">
      <c r="A33" s="3" t="s">
        <v>216</v>
      </c>
      <c r="C33" s="1" t="s">
        <v>422</v>
      </c>
      <c r="D33" s="2" t="s">
        <v>34</v>
      </c>
    </row>
    <row r="34" spans="1:4" x14ac:dyDescent="0.25">
      <c r="A34" s="3" t="s">
        <v>217</v>
      </c>
      <c r="C34" s="1" t="s">
        <v>409</v>
      </c>
      <c r="D34" s="2" t="s">
        <v>35</v>
      </c>
    </row>
    <row r="35" spans="1:4" x14ac:dyDescent="0.25">
      <c r="A35" s="3" t="s">
        <v>218</v>
      </c>
      <c r="C35" s="1" t="s">
        <v>410</v>
      </c>
      <c r="D35" s="2" t="s">
        <v>36</v>
      </c>
    </row>
    <row r="36" spans="1:4" x14ac:dyDescent="0.25">
      <c r="A36" s="3" t="s">
        <v>219</v>
      </c>
      <c r="C36" s="1"/>
      <c r="D36" s="2" t="s">
        <v>37</v>
      </c>
    </row>
    <row r="37" spans="1:4" x14ac:dyDescent="0.25">
      <c r="A37" s="3" t="s">
        <v>220</v>
      </c>
      <c r="C37" s="1"/>
      <c r="D37" s="4" t="s">
        <v>38</v>
      </c>
    </row>
    <row r="38" spans="1:4" x14ac:dyDescent="0.25">
      <c r="A38" s="3" t="s">
        <v>221</v>
      </c>
      <c r="C38" s="1"/>
      <c r="D38" s="2" t="s">
        <v>39</v>
      </c>
    </row>
    <row r="39" spans="1:4" x14ac:dyDescent="0.25">
      <c r="A39" s="3" t="s">
        <v>222</v>
      </c>
      <c r="C39" s="1" t="s">
        <v>40</v>
      </c>
      <c r="D39" s="2" t="s">
        <v>40</v>
      </c>
    </row>
    <row r="40" spans="1:4" x14ac:dyDescent="0.25">
      <c r="A40" s="3" t="s">
        <v>223</v>
      </c>
      <c r="C40" s="1" t="s">
        <v>41</v>
      </c>
      <c r="D40" s="2" t="s">
        <v>41</v>
      </c>
    </row>
    <row r="41" spans="1:4" x14ac:dyDescent="0.25">
      <c r="A41" s="3" t="s">
        <v>224</v>
      </c>
      <c r="C41" s="1" t="s">
        <v>42</v>
      </c>
      <c r="D41" s="2" t="s">
        <v>42</v>
      </c>
    </row>
    <row r="42" spans="1:4" x14ac:dyDescent="0.25">
      <c r="A42" s="3" t="s">
        <v>225</v>
      </c>
      <c r="C42" s="1"/>
      <c r="D42" s="2" t="s">
        <v>43</v>
      </c>
    </row>
    <row r="43" spans="1:4" x14ac:dyDescent="0.25">
      <c r="A43" s="3" t="s">
        <v>226</v>
      </c>
      <c r="C43" s="1"/>
      <c r="D43" s="2" t="s">
        <v>44</v>
      </c>
    </row>
    <row r="44" spans="1:4" x14ac:dyDescent="0.25">
      <c r="A44" s="3" t="s">
        <v>227</v>
      </c>
      <c r="C44" s="1"/>
      <c r="D44" s="2" t="s">
        <v>45</v>
      </c>
    </row>
    <row r="45" spans="1:4" x14ac:dyDescent="0.25">
      <c r="A45" s="3" t="s">
        <v>228</v>
      </c>
      <c r="C45" s="1"/>
      <c r="D45" s="2" t="s">
        <v>46</v>
      </c>
    </row>
    <row r="46" spans="1:4" x14ac:dyDescent="0.25">
      <c r="A46" s="3" t="s">
        <v>229</v>
      </c>
      <c r="C46" s="1" t="s">
        <v>423</v>
      </c>
      <c r="D46" s="2" t="s">
        <v>47</v>
      </c>
    </row>
    <row r="47" spans="1:4" x14ac:dyDescent="0.25">
      <c r="A47" s="3" t="s">
        <v>230</v>
      </c>
      <c r="C47" s="1" t="s">
        <v>48</v>
      </c>
      <c r="D47" s="2" t="s">
        <v>48</v>
      </c>
    </row>
    <row r="48" spans="1:4" x14ac:dyDescent="0.25">
      <c r="A48" s="3" t="s">
        <v>231</v>
      </c>
      <c r="C48" s="1"/>
      <c r="D48" s="2" t="s">
        <v>49</v>
      </c>
    </row>
    <row r="49" spans="1:4" x14ac:dyDescent="0.25">
      <c r="A49" s="3" t="s">
        <v>232</v>
      </c>
      <c r="C49" s="1"/>
      <c r="D49" s="2" t="s">
        <v>50</v>
      </c>
    </row>
    <row r="50" spans="1:4" x14ac:dyDescent="0.25">
      <c r="A50" s="3" t="s">
        <v>233</v>
      </c>
      <c r="C50" s="1"/>
      <c r="D50" s="2" t="s">
        <v>51</v>
      </c>
    </row>
    <row r="51" spans="1:4" x14ac:dyDescent="0.25">
      <c r="A51" s="3" t="s">
        <v>234</v>
      </c>
      <c r="C51" s="1"/>
      <c r="D51" s="2" t="s">
        <v>52</v>
      </c>
    </row>
    <row r="52" spans="1:4" x14ac:dyDescent="0.25">
      <c r="A52" s="3" t="s">
        <v>235</v>
      </c>
      <c r="C52" s="1" t="s">
        <v>372</v>
      </c>
      <c r="D52" s="2" t="s">
        <v>53</v>
      </c>
    </row>
    <row r="53" spans="1:4" x14ac:dyDescent="0.25">
      <c r="A53" s="3" t="s">
        <v>236</v>
      </c>
      <c r="C53" s="1"/>
      <c r="D53" s="2" t="s">
        <v>54</v>
      </c>
    </row>
    <row r="54" spans="1:4" x14ac:dyDescent="0.25">
      <c r="A54" s="3" t="s">
        <v>237</v>
      </c>
      <c r="C54" s="1"/>
      <c r="D54" s="4" t="s">
        <v>55</v>
      </c>
    </row>
    <row r="55" spans="1:4" x14ac:dyDescent="0.25">
      <c r="A55" s="3" t="s">
        <v>238</v>
      </c>
      <c r="C55" s="1" t="s">
        <v>416</v>
      </c>
      <c r="D55" s="2" t="s">
        <v>56</v>
      </c>
    </row>
    <row r="56" spans="1:4" x14ac:dyDescent="0.25">
      <c r="A56" s="3" t="s">
        <v>239</v>
      </c>
      <c r="C56" s="1" t="s">
        <v>417</v>
      </c>
      <c r="D56" s="2" t="s">
        <v>57</v>
      </c>
    </row>
    <row r="57" spans="1:4" x14ac:dyDescent="0.25">
      <c r="A57" s="3" t="s">
        <v>240</v>
      </c>
      <c r="C57" s="1" t="s">
        <v>418</v>
      </c>
      <c r="D57" s="2" t="s">
        <v>58</v>
      </c>
    </row>
    <row r="58" spans="1:4" x14ac:dyDescent="0.25">
      <c r="A58" s="3" t="s">
        <v>241</v>
      </c>
      <c r="C58" s="1" t="s">
        <v>413</v>
      </c>
      <c r="D58" s="2" t="s">
        <v>59</v>
      </c>
    </row>
    <row r="59" spans="1:4" x14ac:dyDescent="0.25">
      <c r="A59" s="3" t="s">
        <v>242</v>
      </c>
      <c r="C59" s="1"/>
      <c r="D59" s="2" t="s">
        <v>60</v>
      </c>
    </row>
    <row r="60" spans="1:4" x14ac:dyDescent="0.25">
      <c r="A60" s="3" t="s">
        <v>243</v>
      </c>
      <c r="C60" s="1" t="s">
        <v>61</v>
      </c>
      <c r="D60" s="2" t="s">
        <v>61</v>
      </c>
    </row>
    <row r="61" spans="1:4" x14ac:dyDescent="0.25">
      <c r="A61" s="3" t="s">
        <v>244</v>
      </c>
      <c r="C61" s="1" t="s">
        <v>395</v>
      </c>
      <c r="D61" s="2" t="s">
        <v>62</v>
      </c>
    </row>
    <row r="62" spans="1:4" x14ac:dyDescent="0.25">
      <c r="A62" s="3" t="s">
        <v>245</v>
      </c>
      <c r="C62" s="1" t="s">
        <v>414</v>
      </c>
      <c r="D62" s="2" t="s">
        <v>63</v>
      </c>
    </row>
    <row r="63" spans="1:4" x14ac:dyDescent="0.25">
      <c r="A63" s="3" t="s">
        <v>246</v>
      </c>
      <c r="C63" s="1"/>
      <c r="D63" s="2" t="s">
        <v>64</v>
      </c>
    </row>
    <row r="64" spans="1:4" x14ac:dyDescent="0.25">
      <c r="A64" s="3" t="s">
        <v>247</v>
      </c>
      <c r="C64" s="1" t="s">
        <v>396</v>
      </c>
      <c r="D64" s="2" t="s">
        <v>65</v>
      </c>
    </row>
    <row r="65" spans="1:4" x14ac:dyDescent="0.25">
      <c r="A65" s="3" t="s">
        <v>248</v>
      </c>
      <c r="C65" s="1" t="s">
        <v>400</v>
      </c>
      <c r="D65" s="2" t="s">
        <v>66</v>
      </c>
    </row>
    <row r="66" spans="1:4" x14ac:dyDescent="0.25">
      <c r="A66" s="3" t="s">
        <v>249</v>
      </c>
      <c r="C66" s="1" t="s">
        <v>401</v>
      </c>
      <c r="D66" s="2" t="s">
        <v>67</v>
      </c>
    </row>
    <row r="67" spans="1:4" x14ac:dyDescent="0.25">
      <c r="A67" s="3" t="s">
        <v>250</v>
      </c>
      <c r="C67" s="1"/>
      <c r="D67" s="2" t="s">
        <v>68</v>
      </c>
    </row>
    <row r="68" spans="1:4" x14ac:dyDescent="0.25">
      <c r="A68" s="3" t="s">
        <v>251</v>
      </c>
      <c r="C68" s="1" t="s">
        <v>69</v>
      </c>
      <c r="D68" s="2" t="s">
        <v>69</v>
      </c>
    </row>
    <row r="69" spans="1:4" x14ac:dyDescent="0.25">
      <c r="A69" s="3" t="s">
        <v>252</v>
      </c>
      <c r="C69" s="1" t="s">
        <v>389</v>
      </c>
      <c r="D69" s="2" t="s">
        <v>70</v>
      </c>
    </row>
    <row r="70" spans="1:4" x14ac:dyDescent="0.25">
      <c r="A70" s="3" t="s">
        <v>253</v>
      </c>
      <c r="C70" s="1" t="s">
        <v>397</v>
      </c>
      <c r="D70" s="2" t="s">
        <v>71</v>
      </c>
    </row>
    <row r="71" spans="1:4" x14ac:dyDescent="0.25">
      <c r="A71" s="3" t="s">
        <v>254</v>
      </c>
      <c r="C71" s="1" t="s">
        <v>390</v>
      </c>
      <c r="D71" s="2" t="s">
        <v>72</v>
      </c>
    </row>
    <row r="72" spans="1:4" x14ac:dyDescent="0.25">
      <c r="A72" s="3" t="s">
        <v>255</v>
      </c>
      <c r="C72" s="1" t="s">
        <v>412</v>
      </c>
      <c r="D72" s="2" t="s">
        <v>73</v>
      </c>
    </row>
    <row r="73" spans="1:4" x14ac:dyDescent="0.25">
      <c r="A73" s="3" t="s">
        <v>256</v>
      </c>
      <c r="C73" s="1" t="s">
        <v>380</v>
      </c>
      <c r="D73" s="2" t="s">
        <v>74</v>
      </c>
    </row>
    <row r="74" spans="1:4" x14ac:dyDescent="0.25">
      <c r="A74" s="3" t="s">
        <v>257</v>
      </c>
      <c r="C74" s="1"/>
      <c r="D74" s="2" t="s">
        <v>75</v>
      </c>
    </row>
    <row r="75" spans="1:4" x14ac:dyDescent="0.25">
      <c r="A75" s="3" t="s">
        <v>258</v>
      </c>
      <c r="C75" s="1"/>
      <c r="D75" s="2" t="s">
        <v>76</v>
      </c>
    </row>
    <row r="76" spans="1:4" x14ac:dyDescent="0.25">
      <c r="A76" s="3" t="s">
        <v>259</v>
      </c>
      <c r="C76" s="1" t="s">
        <v>398</v>
      </c>
      <c r="D76" s="2" t="s">
        <v>77</v>
      </c>
    </row>
    <row r="77" spans="1:4" x14ac:dyDescent="0.25">
      <c r="A77" s="3" t="s">
        <v>260</v>
      </c>
      <c r="C77" s="2" t="s">
        <v>435</v>
      </c>
      <c r="D77" s="2" t="s">
        <v>78</v>
      </c>
    </row>
    <row r="78" spans="1:4" x14ac:dyDescent="0.25">
      <c r="A78" s="3" t="s">
        <v>261</v>
      </c>
      <c r="C78" s="1" t="s">
        <v>79</v>
      </c>
      <c r="D78" s="2" t="s">
        <v>79</v>
      </c>
    </row>
    <row r="79" spans="1:4" x14ac:dyDescent="0.25">
      <c r="A79" s="3" t="s">
        <v>262</v>
      </c>
      <c r="C79" s="1"/>
      <c r="D79" s="2" t="s">
        <v>80</v>
      </c>
    </row>
    <row r="80" spans="1:4" x14ac:dyDescent="0.25">
      <c r="A80" s="3" t="s">
        <v>263</v>
      </c>
      <c r="C80" s="1"/>
      <c r="D80" s="2" t="s">
        <v>81</v>
      </c>
    </row>
    <row r="81" spans="1:4" x14ac:dyDescent="0.25">
      <c r="A81" s="3" t="s">
        <v>264</v>
      </c>
      <c r="C81" s="1"/>
      <c r="D81" s="2" t="s">
        <v>82</v>
      </c>
    </row>
    <row r="82" spans="1:4" x14ac:dyDescent="0.25">
      <c r="A82" s="3" t="s">
        <v>265</v>
      </c>
      <c r="C82" s="1"/>
      <c r="D82" s="2" t="s">
        <v>83</v>
      </c>
    </row>
    <row r="83" spans="1:4" x14ac:dyDescent="0.25">
      <c r="A83" s="3" t="s">
        <v>266</v>
      </c>
      <c r="C83" s="1"/>
      <c r="D83" s="2" t="s">
        <v>84</v>
      </c>
    </row>
    <row r="84" spans="1:4" x14ac:dyDescent="0.25">
      <c r="A84" s="3" t="s">
        <v>267</v>
      </c>
      <c r="C84" s="1"/>
      <c r="D84" s="2" t="s">
        <v>85</v>
      </c>
    </row>
    <row r="85" spans="1:4" x14ac:dyDescent="0.25">
      <c r="A85" s="3" t="s">
        <v>268</v>
      </c>
      <c r="C85" s="1"/>
      <c r="D85" s="2" t="s">
        <v>86</v>
      </c>
    </row>
    <row r="86" spans="1:4" x14ac:dyDescent="0.25">
      <c r="A86" s="3" t="s">
        <v>269</v>
      </c>
      <c r="C86" s="1"/>
      <c r="D86" s="2" t="s">
        <v>87</v>
      </c>
    </row>
    <row r="87" spans="1:4" x14ac:dyDescent="0.25">
      <c r="A87" s="3" t="s">
        <v>270</v>
      </c>
      <c r="C87" s="1"/>
      <c r="D87" s="2" t="s">
        <v>88</v>
      </c>
    </row>
    <row r="88" spans="1:4" x14ac:dyDescent="0.25">
      <c r="A88" s="3" t="s">
        <v>271</v>
      </c>
      <c r="C88" s="1"/>
      <c r="D88" s="2" t="s">
        <v>89</v>
      </c>
    </row>
    <row r="89" spans="1:4" x14ac:dyDescent="0.25">
      <c r="A89" s="3" t="s">
        <v>272</v>
      </c>
      <c r="C89" s="1"/>
      <c r="D89" s="2" t="s">
        <v>90</v>
      </c>
    </row>
    <row r="90" spans="1:4" x14ac:dyDescent="0.25">
      <c r="A90" s="3" t="s">
        <v>273</v>
      </c>
      <c r="C90" s="1"/>
      <c r="D90" s="2" t="s">
        <v>91</v>
      </c>
    </row>
    <row r="91" spans="1:4" x14ac:dyDescent="0.25">
      <c r="A91" s="3" t="s">
        <v>274</v>
      </c>
      <c r="C91" s="1"/>
      <c r="D91" s="2" t="s">
        <v>92</v>
      </c>
    </row>
    <row r="92" spans="1:4" x14ac:dyDescent="0.25">
      <c r="A92" s="3" t="s">
        <v>275</v>
      </c>
      <c r="C92" s="1"/>
      <c r="D92" s="2" t="s">
        <v>93</v>
      </c>
    </row>
    <row r="93" spans="1:4" x14ac:dyDescent="0.25">
      <c r="A93" s="3" t="s">
        <v>276</v>
      </c>
      <c r="C93" s="1" t="s">
        <v>94</v>
      </c>
      <c r="D93" s="2" t="s">
        <v>94</v>
      </c>
    </row>
    <row r="94" spans="1:4" x14ac:dyDescent="0.25">
      <c r="A94" s="3" t="s">
        <v>277</v>
      </c>
      <c r="C94" s="1" t="s">
        <v>411</v>
      </c>
      <c r="D94" s="2" t="s">
        <v>95</v>
      </c>
    </row>
    <row r="95" spans="1:4" x14ac:dyDescent="0.25">
      <c r="A95" s="3" t="s">
        <v>278</v>
      </c>
      <c r="C95" s="1" t="s">
        <v>96</v>
      </c>
      <c r="D95" s="2" t="s">
        <v>96</v>
      </c>
    </row>
    <row r="96" spans="1:4" x14ac:dyDescent="0.25">
      <c r="A96" s="3" t="s">
        <v>279</v>
      </c>
      <c r="C96" s="1"/>
      <c r="D96" s="2" t="s">
        <v>97</v>
      </c>
    </row>
    <row r="97" spans="1:4" x14ac:dyDescent="0.25">
      <c r="A97" s="3" t="s">
        <v>280</v>
      </c>
      <c r="C97" s="1" t="s">
        <v>98</v>
      </c>
      <c r="D97" s="2" t="s">
        <v>98</v>
      </c>
    </row>
    <row r="98" spans="1:4" x14ac:dyDescent="0.25">
      <c r="A98" s="3" t="s">
        <v>281</v>
      </c>
      <c r="C98" s="1" t="s">
        <v>99</v>
      </c>
      <c r="D98" s="2" t="s">
        <v>99</v>
      </c>
    </row>
    <row r="99" spans="1:4" x14ac:dyDescent="0.25">
      <c r="A99" s="3" t="s">
        <v>282</v>
      </c>
      <c r="C99" s="1"/>
      <c r="D99" s="2" t="s">
        <v>100</v>
      </c>
    </row>
    <row r="100" spans="1:4" x14ac:dyDescent="0.25">
      <c r="A100" s="3" t="s">
        <v>283</v>
      </c>
      <c r="C100" s="1" t="s">
        <v>101</v>
      </c>
      <c r="D100" s="2" t="s">
        <v>101</v>
      </c>
    </row>
    <row r="101" spans="1:4" x14ac:dyDescent="0.25">
      <c r="A101" s="3" t="s">
        <v>284</v>
      </c>
      <c r="C101" s="1" t="s">
        <v>425</v>
      </c>
      <c r="D101" s="2" t="s">
        <v>102</v>
      </c>
    </row>
    <row r="102" spans="1:4" x14ac:dyDescent="0.25">
      <c r="A102" s="3" t="s">
        <v>285</v>
      </c>
      <c r="C102" s="1"/>
      <c r="D102" s="2" t="s">
        <v>103</v>
      </c>
    </row>
    <row r="103" spans="1:4" x14ac:dyDescent="0.25">
      <c r="A103" s="3" t="s">
        <v>286</v>
      </c>
      <c r="C103" s="1" t="s">
        <v>104</v>
      </c>
      <c r="D103" s="2" t="s">
        <v>104</v>
      </c>
    </row>
    <row r="104" spans="1:4" x14ac:dyDescent="0.25">
      <c r="A104" s="3" t="s">
        <v>287</v>
      </c>
      <c r="C104" s="1" t="s">
        <v>419</v>
      </c>
      <c r="D104" s="2" t="s">
        <v>105</v>
      </c>
    </row>
    <row r="105" spans="1:4" x14ac:dyDescent="0.25">
      <c r="A105" s="3" t="s">
        <v>288</v>
      </c>
      <c r="C105" s="1" t="s">
        <v>421</v>
      </c>
      <c r="D105" s="2" t="s">
        <v>106</v>
      </c>
    </row>
    <row r="106" spans="1:4" x14ac:dyDescent="0.25">
      <c r="A106" s="3" t="s">
        <v>289</v>
      </c>
      <c r="C106" s="1" t="s">
        <v>424</v>
      </c>
      <c r="D106" s="2" t="s">
        <v>107</v>
      </c>
    </row>
    <row r="107" spans="1:4" x14ac:dyDescent="0.25">
      <c r="A107" s="3" t="s">
        <v>290</v>
      </c>
      <c r="C107" s="1"/>
      <c r="D107" s="2" t="s">
        <v>108</v>
      </c>
    </row>
    <row r="108" spans="1:4" x14ac:dyDescent="0.25">
      <c r="A108" s="3" t="s">
        <v>291</v>
      </c>
      <c r="C108" s="1"/>
      <c r="D108" s="2" t="s">
        <v>109</v>
      </c>
    </row>
    <row r="109" spans="1:4" x14ac:dyDescent="0.25">
      <c r="A109" s="3" t="s">
        <v>292</v>
      </c>
      <c r="C109" s="1"/>
      <c r="D109" s="2" t="s">
        <v>110</v>
      </c>
    </row>
    <row r="110" spans="1:4" x14ac:dyDescent="0.25">
      <c r="A110" s="3" t="s">
        <v>293</v>
      </c>
      <c r="C110" s="1"/>
      <c r="D110" s="4" t="s">
        <v>111</v>
      </c>
    </row>
    <row r="111" spans="1:4" x14ac:dyDescent="0.25">
      <c r="A111" s="3" t="s">
        <v>294</v>
      </c>
      <c r="C111" s="1" t="s">
        <v>404</v>
      </c>
      <c r="D111" s="4" t="s">
        <v>112</v>
      </c>
    </row>
    <row r="112" spans="1:4" x14ac:dyDescent="0.25">
      <c r="A112" s="3" t="s">
        <v>295</v>
      </c>
      <c r="C112" s="1"/>
      <c r="D112" s="2" t="s">
        <v>113</v>
      </c>
    </row>
    <row r="113" spans="1:4" x14ac:dyDescent="0.25">
      <c r="A113" s="3" t="s">
        <v>296</v>
      </c>
      <c r="C113" s="1" t="s">
        <v>371</v>
      </c>
      <c r="D113" s="2" t="s">
        <v>114</v>
      </c>
    </row>
    <row r="114" spans="1:4" x14ac:dyDescent="0.25">
      <c r="A114" s="3" t="s">
        <v>297</v>
      </c>
      <c r="C114" s="1"/>
      <c r="D114" s="2" t="s">
        <v>115</v>
      </c>
    </row>
    <row r="115" spans="1:4" x14ac:dyDescent="0.25">
      <c r="A115" s="3" t="s">
        <v>298</v>
      </c>
      <c r="C115" s="1"/>
      <c r="D115" s="4" t="s">
        <v>116</v>
      </c>
    </row>
    <row r="116" spans="1:4" x14ac:dyDescent="0.25">
      <c r="A116" s="3" t="s">
        <v>299</v>
      </c>
      <c r="C116" s="1" t="s">
        <v>426</v>
      </c>
      <c r="D116" s="2" t="s">
        <v>117</v>
      </c>
    </row>
    <row r="117" spans="1:4" x14ac:dyDescent="0.25">
      <c r="A117" s="3" t="s">
        <v>300</v>
      </c>
      <c r="C117" s="1"/>
      <c r="D117" s="2" t="s">
        <v>118</v>
      </c>
    </row>
    <row r="118" spans="1:4" x14ac:dyDescent="0.25">
      <c r="A118" s="3" t="s">
        <v>301</v>
      </c>
      <c r="C118" s="1" t="s">
        <v>427</v>
      </c>
      <c r="D118" s="2" t="s">
        <v>119</v>
      </c>
    </row>
    <row r="119" spans="1:4" x14ac:dyDescent="0.25">
      <c r="A119" s="3" t="s">
        <v>302</v>
      </c>
      <c r="C119" s="1"/>
      <c r="D119" s="4" t="s">
        <v>120</v>
      </c>
    </row>
    <row r="120" spans="1:4" x14ac:dyDescent="0.25">
      <c r="A120" s="3" t="s">
        <v>303</v>
      </c>
      <c r="C120" s="1" t="s">
        <v>121</v>
      </c>
      <c r="D120" s="2" t="s">
        <v>121</v>
      </c>
    </row>
    <row r="121" spans="1:4" x14ac:dyDescent="0.25">
      <c r="A121" s="3" t="s">
        <v>304</v>
      </c>
      <c r="C121" s="1" t="s">
        <v>403</v>
      </c>
      <c r="D121" s="2" t="s">
        <v>122</v>
      </c>
    </row>
    <row r="122" spans="1:4" x14ac:dyDescent="0.25">
      <c r="A122" s="3" t="s">
        <v>305</v>
      </c>
      <c r="C122" s="1" t="s">
        <v>406</v>
      </c>
      <c r="D122" s="2" t="s">
        <v>123</v>
      </c>
    </row>
    <row r="123" spans="1:4" x14ac:dyDescent="0.25">
      <c r="A123" s="3" t="s">
        <v>306</v>
      </c>
      <c r="C123" s="1"/>
      <c r="D123" s="2" t="s">
        <v>124</v>
      </c>
    </row>
    <row r="124" spans="1:4" x14ac:dyDescent="0.25">
      <c r="A124" s="3" t="s">
        <v>307</v>
      </c>
      <c r="C124" s="1" t="s">
        <v>374</v>
      </c>
      <c r="D124" s="2" t="s">
        <v>125</v>
      </c>
    </row>
    <row r="125" spans="1:4" x14ac:dyDescent="0.25">
      <c r="A125" s="3" t="s">
        <v>308</v>
      </c>
      <c r="C125" s="1" t="s">
        <v>373</v>
      </c>
      <c r="D125" s="2" t="s">
        <v>126</v>
      </c>
    </row>
    <row r="126" spans="1:4" x14ac:dyDescent="0.25">
      <c r="A126" s="3" t="s">
        <v>309</v>
      </c>
      <c r="C126" s="1" t="s">
        <v>402</v>
      </c>
      <c r="D126" s="2" t="s">
        <v>127</v>
      </c>
    </row>
    <row r="127" spans="1:4" x14ac:dyDescent="0.25">
      <c r="A127" s="3" t="s">
        <v>310</v>
      </c>
      <c r="C127" s="1" t="s">
        <v>405</v>
      </c>
      <c r="D127" s="2" t="s">
        <v>128</v>
      </c>
    </row>
    <row r="128" spans="1:4" x14ac:dyDescent="0.25">
      <c r="A128" s="3" t="s">
        <v>311</v>
      </c>
      <c r="C128" s="1" t="s">
        <v>129</v>
      </c>
      <c r="D128" s="2" t="s">
        <v>129</v>
      </c>
    </row>
    <row r="129" spans="1:4" x14ac:dyDescent="0.25">
      <c r="A129" s="3" t="s">
        <v>312</v>
      </c>
      <c r="C129" s="1" t="s">
        <v>428</v>
      </c>
      <c r="D129" s="2" t="s">
        <v>130</v>
      </c>
    </row>
    <row r="130" spans="1:4" x14ac:dyDescent="0.25">
      <c r="A130" s="3" t="s">
        <v>313</v>
      </c>
      <c r="C130" s="1"/>
      <c r="D130" s="2" t="s">
        <v>131</v>
      </c>
    </row>
    <row r="131" spans="1:4" x14ac:dyDescent="0.25">
      <c r="A131" s="3" t="s">
        <v>314</v>
      </c>
      <c r="C131" s="1"/>
      <c r="D131" s="2" t="s">
        <v>132</v>
      </c>
    </row>
    <row r="132" spans="1:4" x14ac:dyDescent="0.25">
      <c r="A132" s="3" t="s">
        <v>315</v>
      </c>
      <c r="C132" s="1"/>
      <c r="D132" s="2" t="s">
        <v>133</v>
      </c>
    </row>
    <row r="133" spans="1:4" x14ac:dyDescent="0.25">
      <c r="A133" s="3" t="s">
        <v>316</v>
      </c>
      <c r="C133" s="1"/>
      <c r="D133" s="2" t="s">
        <v>134</v>
      </c>
    </row>
    <row r="134" spans="1:4" x14ac:dyDescent="0.25">
      <c r="A134" s="3" t="s">
        <v>317</v>
      </c>
      <c r="C134" s="1"/>
      <c r="D134" s="2" t="s">
        <v>135</v>
      </c>
    </row>
    <row r="135" spans="1:4" x14ac:dyDescent="0.25">
      <c r="A135" s="3" t="s">
        <v>318</v>
      </c>
      <c r="C135" s="1"/>
      <c r="D135" s="2" t="s">
        <v>136</v>
      </c>
    </row>
    <row r="136" spans="1:4" x14ac:dyDescent="0.25">
      <c r="A136" s="3" t="s">
        <v>319</v>
      </c>
      <c r="C136" s="1"/>
      <c r="D136" s="2" t="s">
        <v>137</v>
      </c>
    </row>
    <row r="137" spans="1:4" x14ac:dyDescent="0.25">
      <c r="A137" s="3" t="s">
        <v>320</v>
      </c>
      <c r="C137" s="1"/>
      <c r="D137" s="2" t="s">
        <v>138</v>
      </c>
    </row>
    <row r="138" spans="1:4" x14ac:dyDescent="0.25">
      <c r="A138" s="3" t="s">
        <v>321</v>
      </c>
      <c r="C138" s="1"/>
      <c r="D138" s="2" t="s">
        <v>139</v>
      </c>
    </row>
    <row r="139" spans="1:4" x14ac:dyDescent="0.25">
      <c r="A139" s="3" t="s">
        <v>322</v>
      </c>
      <c r="C139" s="1"/>
      <c r="D139" s="2" t="s">
        <v>140</v>
      </c>
    </row>
    <row r="140" spans="1:4" x14ac:dyDescent="0.25">
      <c r="A140" s="3" t="s">
        <v>323</v>
      </c>
      <c r="C140" s="1"/>
      <c r="D140" s="2" t="s">
        <v>141</v>
      </c>
    </row>
    <row r="141" spans="1:4" x14ac:dyDescent="0.25">
      <c r="A141" s="3" t="s">
        <v>324</v>
      </c>
      <c r="C141" s="1"/>
      <c r="D141" s="2" t="s">
        <v>142</v>
      </c>
    </row>
    <row r="142" spans="1:4" x14ac:dyDescent="0.25">
      <c r="A142" s="3" t="s">
        <v>325</v>
      </c>
      <c r="C142" s="1"/>
      <c r="D142" s="4" t="s">
        <v>143</v>
      </c>
    </row>
    <row r="143" spans="1:4" x14ac:dyDescent="0.25">
      <c r="A143" s="3" t="s">
        <v>326</v>
      </c>
      <c r="C143" s="1"/>
      <c r="D143" s="4" t="s">
        <v>144</v>
      </c>
    </row>
    <row r="144" spans="1:4" x14ac:dyDescent="0.25">
      <c r="A144" s="3" t="s">
        <v>327</v>
      </c>
      <c r="C144" s="1"/>
      <c r="D144" s="4" t="s">
        <v>145</v>
      </c>
    </row>
    <row r="145" spans="1:4" x14ac:dyDescent="0.25">
      <c r="A145" s="3" t="s">
        <v>328</v>
      </c>
      <c r="C145" s="1" t="s">
        <v>146</v>
      </c>
      <c r="D145" s="2" t="s">
        <v>146</v>
      </c>
    </row>
    <row r="146" spans="1:4" x14ac:dyDescent="0.25">
      <c r="A146" s="3" t="s">
        <v>329</v>
      </c>
      <c r="C146" s="1"/>
      <c r="D146" s="2" t="s">
        <v>147</v>
      </c>
    </row>
    <row r="147" spans="1:4" x14ac:dyDescent="0.25">
      <c r="A147" s="3" t="s">
        <v>330</v>
      </c>
      <c r="C147" s="1"/>
      <c r="D147" s="2" t="s">
        <v>148</v>
      </c>
    </row>
    <row r="148" spans="1:4" x14ac:dyDescent="0.25">
      <c r="A148" s="3" t="s">
        <v>331</v>
      </c>
      <c r="C148" s="1"/>
      <c r="D148" s="2" t="s">
        <v>149</v>
      </c>
    </row>
    <row r="149" spans="1:4" x14ac:dyDescent="0.25">
      <c r="A149" s="3" t="s">
        <v>332</v>
      </c>
      <c r="C149" s="1" t="s">
        <v>376</v>
      </c>
      <c r="D149" s="2" t="s">
        <v>150</v>
      </c>
    </row>
    <row r="150" spans="1:4" x14ac:dyDescent="0.25">
      <c r="A150" s="3" t="s">
        <v>333</v>
      </c>
      <c r="C150" s="1" t="s">
        <v>151</v>
      </c>
      <c r="D150" s="2" t="s">
        <v>151</v>
      </c>
    </row>
    <row r="151" spans="1:4" x14ac:dyDescent="0.25">
      <c r="A151" s="3" t="s">
        <v>334</v>
      </c>
      <c r="C151" s="1" t="s">
        <v>152</v>
      </c>
      <c r="D151" s="2" t="s">
        <v>152</v>
      </c>
    </row>
    <row r="152" spans="1:4" x14ac:dyDescent="0.25">
      <c r="A152" s="3" t="s">
        <v>335</v>
      </c>
      <c r="C152" s="1" t="s">
        <v>153</v>
      </c>
      <c r="D152" s="2" t="s">
        <v>153</v>
      </c>
    </row>
    <row r="153" spans="1:4" x14ac:dyDescent="0.25">
      <c r="A153" s="3" t="s">
        <v>336</v>
      </c>
      <c r="C153" s="1" t="s">
        <v>154</v>
      </c>
      <c r="D153" s="2" t="s">
        <v>154</v>
      </c>
    </row>
    <row r="154" spans="1:4" x14ac:dyDescent="0.25">
      <c r="A154" s="3" t="s">
        <v>337</v>
      </c>
      <c r="C154" s="1"/>
      <c r="D154" s="2" t="s">
        <v>155</v>
      </c>
    </row>
    <row r="155" spans="1:4" x14ac:dyDescent="0.25">
      <c r="A155" s="3" t="s">
        <v>338</v>
      </c>
      <c r="C155" s="1" t="s">
        <v>385</v>
      </c>
      <c r="D155" s="4" t="s">
        <v>156</v>
      </c>
    </row>
    <row r="156" spans="1:4" x14ac:dyDescent="0.25">
      <c r="A156" s="3" t="s">
        <v>339</v>
      </c>
      <c r="C156" s="1" t="s">
        <v>387</v>
      </c>
      <c r="D156" s="2" t="s">
        <v>157</v>
      </c>
    </row>
    <row r="157" spans="1:4" x14ac:dyDescent="0.25">
      <c r="A157" s="3" t="s">
        <v>340</v>
      </c>
      <c r="C157" s="1" t="s">
        <v>379</v>
      </c>
      <c r="D157" s="2" t="s">
        <v>158</v>
      </c>
    </row>
    <row r="158" spans="1:4" x14ac:dyDescent="0.25">
      <c r="A158" s="3" t="s">
        <v>341</v>
      </c>
      <c r="C158" s="1"/>
      <c r="D158" s="2" t="s">
        <v>159</v>
      </c>
    </row>
    <row r="159" spans="1:4" x14ac:dyDescent="0.25">
      <c r="A159" s="3" t="s">
        <v>342</v>
      </c>
      <c r="C159" s="1"/>
      <c r="D159" s="2" t="s">
        <v>160</v>
      </c>
    </row>
    <row r="160" spans="1:4" x14ac:dyDescent="0.25">
      <c r="A160" s="3" t="s">
        <v>343</v>
      </c>
      <c r="C160" s="1" t="s">
        <v>161</v>
      </c>
      <c r="D160" s="2" t="s">
        <v>161</v>
      </c>
    </row>
    <row r="161" spans="1:4" x14ac:dyDescent="0.25">
      <c r="A161" s="3" t="s">
        <v>344</v>
      </c>
      <c r="C161" s="1" t="s">
        <v>162</v>
      </c>
      <c r="D161" s="2" t="s">
        <v>162</v>
      </c>
    </row>
    <row r="162" spans="1:4" x14ac:dyDescent="0.25">
      <c r="A162" s="3" t="s">
        <v>345</v>
      </c>
      <c r="C162" s="1" t="s">
        <v>415</v>
      </c>
      <c r="D162" s="2" t="s">
        <v>163</v>
      </c>
    </row>
    <row r="163" spans="1:4" x14ac:dyDescent="0.25">
      <c r="A163" s="3" t="s">
        <v>346</v>
      </c>
      <c r="C163" s="1" t="s">
        <v>391</v>
      </c>
      <c r="D163" s="4" t="s">
        <v>164</v>
      </c>
    </row>
    <row r="164" spans="1:4" x14ac:dyDescent="0.25">
      <c r="A164" s="3" t="s">
        <v>347</v>
      </c>
      <c r="C164" s="1" t="s">
        <v>393</v>
      </c>
      <c r="D164" s="2" t="s">
        <v>165</v>
      </c>
    </row>
    <row r="165" spans="1:4" x14ac:dyDescent="0.25">
      <c r="A165" s="3" t="s">
        <v>348</v>
      </c>
      <c r="C165" s="1" t="s">
        <v>386</v>
      </c>
      <c r="D165" s="2" t="s">
        <v>166</v>
      </c>
    </row>
    <row r="166" spans="1:4" x14ac:dyDescent="0.25">
      <c r="A166" s="3" t="s">
        <v>349</v>
      </c>
      <c r="C166" s="1" t="s">
        <v>388</v>
      </c>
      <c r="D166" s="2" t="s">
        <v>167</v>
      </c>
    </row>
    <row r="167" spans="1:4" x14ac:dyDescent="0.25">
      <c r="A167" s="3" t="s">
        <v>350</v>
      </c>
      <c r="C167" s="1" t="s">
        <v>381</v>
      </c>
      <c r="D167" s="2" t="s">
        <v>168</v>
      </c>
    </row>
    <row r="168" spans="1:4" x14ac:dyDescent="0.25">
      <c r="A168" s="3" t="s">
        <v>351</v>
      </c>
      <c r="C168" s="1" t="s">
        <v>169</v>
      </c>
      <c r="D168" s="2" t="s">
        <v>169</v>
      </c>
    </row>
    <row r="169" spans="1:4" x14ac:dyDescent="0.25">
      <c r="A169" s="3" t="s">
        <v>352</v>
      </c>
      <c r="C169" s="1"/>
      <c r="D169" s="2" t="s">
        <v>170</v>
      </c>
    </row>
    <row r="170" spans="1:4" x14ac:dyDescent="0.25">
      <c r="A170" s="3" t="s">
        <v>353</v>
      </c>
      <c r="C170" s="1"/>
      <c r="D170" s="2" t="s">
        <v>171</v>
      </c>
    </row>
    <row r="171" spans="1:4" x14ac:dyDescent="0.25">
      <c r="A171" s="3" t="s">
        <v>354</v>
      </c>
      <c r="C171" s="1"/>
      <c r="D171" s="4" t="s">
        <v>172</v>
      </c>
    </row>
    <row r="172" spans="1:4" x14ac:dyDescent="0.25">
      <c r="A172" s="3" t="s">
        <v>355</v>
      </c>
      <c r="C172" s="1"/>
      <c r="D172" s="2" t="s">
        <v>173</v>
      </c>
    </row>
    <row r="173" spans="1:4" x14ac:dyDescent="0.25">
      <c r="A173" s="3" t="s">
        <v>356</v>
      </c>
      <c r="C173" s="1" t="s">
        <v>392</v>
      </c>
      <c r="D173" s="2" t="s">
        <v>174</v>
      </c>
    </row>
    <row r="174" spans="1:4" x14ac:dyDescent="0.25">
      <c r="A174" s="3" t="s">
        <v>357</v>
      </c>
      <c r="C174" s="1" t="s">
        <v>394</v>
      </c>
      <c r="D174" s="2" t="s">
        <v>175</v>
      </c>
    </row>
    <row r="175" spans="1:4" x14ac:dyDescent="0.25">
      <c r="A175" s="3" t="s">
        <v>358</v>
      </c>
      <c r="C175" s="1" t="s">
        <v>399</v>
      </c>
      <c r="D175" s="2" t="s">
        <v>176</v>
      </c>
    </row>
    <row r="176" spans="1:4" x14ac:dyDescent="0.25">
      <c r="A176" s="3" t="s">
        <v>359</v>
      </c>
      <c r="C176" s="1"/>
      <c r="D176" s="2" t="s">
        <v>177</v>
      </c>
    </row>
    <row r="177" spans="1:4" x14ac:dyDescent="0.25">
      <c r="A177" s="3" t="s">
        <v>360</v>
      </c>
      <c r="C177" s="1"/>
      <c r="D177" s="2" t="s">
        <v>178</v>
      </c>
    </row>
    <row r="178" spans="1:4" x14ac:dyDescent="0.25">
      <c r="A178" s="3" t="s">
        <v>361</v>
      </c>
      <c r="C178" s="1"/>
      <c r="D178" s="2" t="s">
        <v>179</v>
      </c>
    </row>
    <row r="179" spans="1:4" x14ac:dyDescent="0.25">
      <c r="A179" s="3" t="s">
        <v>362</v>
      </c>
      <c r="C179" s="1" t="s">
        <v>429</v>
      </c>
      <c r="D179" s="2" t="s">
        <v>180</v>
      </c>
    </row>
    <row r="180" spans="1:4" x14ac:dyDescent="0.25">
      <c r="A180" s="3" t="s">
        <v>363</v>
      </c>
      <c r="C180" s="1" t="s">
        <v>382</v>
      </c>
      <c r="D180" s="2" t="s">
        <v>181</v>
      </c>
    </row>
    <row r="181" spans="1:4" x14ac:dyDescent="0.25">
      <c r="A181" s="3" t="s">
        <v>364</v>
      </c>
      <c r="C181" s="1" t="s">
        <v>383</v>
      </c>
      <c r="D181" s="2" t="s">
        <v>182</v>
      </c>
    </row>
    <row r="182" spans="1:4" x14ac:dyDescent="0.25">
      <c r="A182" s="3" t="s">
        <v>365</v>
      </c>
      <c r="C182" s="1" t="s">
        <v>384</v>
      </c>
      <c r="D182" s="2" t="s">
        <v>183</v>
      </c>
    </row>
    <row r="183" spans="1:4" x14ac:dyDescent="0.25">
      <c r="A183" s="19" t="s">
        <v>366</v>
      </c>
      <c r="C183" s="20"/>
      <c r="D183" s="21" t="s">
        <v>184</v>
      </c>
    </row>
    <row r="184" spans="1:4" x14ac:dyDescent="0.25">
      <c r="A184" s="3" t="s">
        <v>432</v>
      </c>
      <c r="C184" s="1" t="s">
        <v>369</v>
      </c>
      <c r="D184" s="22"/>
    </row>
    <row r="185" spans="1:4" x14ac:dyDescent="0.25">
      <c r="A185" s="3" t="s">
        <v>434</v>
      </c>
      <c r="C185" s="1" t="s">
        <v>370</v>
      </c>
    </row>
    <row r="186" spans="1:4" x14ac:dyDescent="0.25">
      <c r="A186" s="3" t="s">
        <v>433</v>
      </c>
      <c r="C186" s="1" t="s">
        <v>430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ActionLevel"/>
  <dimension ref="A1:H187"/>
  <sheetViews>
    <sheetView topLeftCell="A181" workbookViewId="0">
      <selection activeCell="B205" sqref="B205"/>
    </sheetView>
  </sheetViews>
  <sheetFormatPr defaultRowHeight="15.75" x14ac:dyDescent="0.25"/>
  <cols>
    <col min="1" max="1" width="13.25" customWidth="1"/>
    <col min="2" max="2" width="19.125" customWidth="1"/>
    <col min="3" max="3" width="33.75" customWidth="1"/>
    <col min="4" max="4" width="33.375" customWidth="1"/>
    <col min="5" max="5" width="30.125" customWidth="1"/>
    <col min="6" max="6" width="29" customWidth="1"/>
    <col min="7" max="7" width="22.25" customWidth="1"/>
    <col min="8" max="8" width="29" customWidth="1"/>
  </cols>
  <sheetData>
    <row r="1" spans="1:8" x14ac:dyDescent="0.25">
      <c r="A1" t="s">
        <v>2</v>
      </c>
      <c r="B1" s="18" t="s">
        <v>485</v>
      </c>
      <c r="C1" s="18" t="s">
        <v>487</v>
      </c>
      <c r="D1" s="18" t="s">
        <v>491</v>
      </c>
      <c r="E1" s="18" t="s">
        <v>490</v>
      </c>
      <c r="F1" s="18" t="s">
        <v>489</v>
      </c>
      <c r="G1" s="18" t="s">
        <v>492</v>
      </c>
      <c r="H1" s="24" t="s">
        <v>498</v>
      </c>
    </row>
    <row r="2" spans="1:8" x14ac:dyDescent="0.25">
      <c r="A2" t="s">
        <v>480</v>
      </c>
      <c r="B2" s="18" t="s">
        <v>486</v>
      </c>
      <c r="C2" s="18" t="s">
        <v>488</v>
      </c>
      <c r="D2" s="18" t="s">
        <v>486</v>
      </c>
      <c r="E2" s="18" t="s">
        <v>486</v>
      </c>
      <c r="F2" s="18" t="s">
        <v>486</v>
      </c>
      <c r="G2" s="18" t="s">
        <v>486</v>
      </c>
      <c r="H2" s="18" t="s">
        <v>486</v>
      </c>
    </row>
    <row r="3" spans="1:8" x14ac:dyDescent="0.25">
      <c r="A3" t="s">
        <v>185</v>
      </c>
      <c r="C3">
        <v>530</v>
      </c>
      <c r="D3">
        <v>37</v>
      </c>
      <c r="E3">
        <v>3800</v>
      </c>
      <c r="F3" s="23">
        <v>4600</v>
      </c>
      <c r="G3" s="24">
        <v>6300</v>
      </c>
      <c r="H3" s="24">
        <v>37</v>
      </c>
    </row>
    <row r="4" spans="1:8" x14ac:dyDescent="0.25">
      <c r="A4" t="s">
        <v>186</v>
      </c>
      <c r="C4">
        <v>260</v>
      </c>
      <c r="D4">
        <v>18</v>
      </c>
      <c r="E4">
        <v>1900</v>
      </c>
      <c r="F4" s="23">
        <v>2300</v>
      </c>
      <c r="G4" s="24">
        <v>3100</v>
      </c>
      <c r="H4" s="24">
        <v>18</v>
      </c>
    </row>
    <row r="5" spans="1:8" x14ac:dyDescent="0.25">
      <c r="A5" t="s">
        <v>187</v>
      </c>
      <c r="C5">
        <v>14000</v>
      </c>
      <c r="D5">
        <v>38</v>
      </c>
      <c r="E5">
        <v>65000</v>
      </c>
      <c r="F5" s="23">
        <v>81000</v>
      </c>
      <c r="G5" s="24">
        <v>100000</v>
      </c>
      <c r="H5" s="24">
        <v>38</v>
      </c>
    </row>
    <row r="6" spans="1:8" x14ac:dyDescent="0.25">
      <c r="A6" t="s">
        <v>188</v>
      </c>
      <c r="C6">
        <v>9.1999999999999998E-3</v>
      </c>
      <c r="D6">
        <v>9.9000000000000008E-3</v>
      </c>
      <c r="E6">
        <v>0.4</v>
      </c>
      <c r="F6" s="23">
        <v>0.49</v>
      </c>
      <c r="G6" s="24">
        <v>0.67</v>
      </c>
      <c r="H6" s="24">
        <v>9.9000000000000008E-3</v>
      </c>
    </row>
    <row r="7" spans="1:8" x14ac:dyDescent="0.25">
      <c r="A7" t="s">
        <v>189</v>
      </c>
      <c r="C7">
        <v>14</v>
      </c>
      <c r="D7">
        <v>3.6999999999999998E-2</v>
      </c>
      <c r="E7">
        <v>58</v>
      </c>
      <c r="F7" s="23">
        <v>71</v>
      </c>
      <c r="G7" s="24">
        <v>96</v>
      </c>
      <c r="H7" s="24">
        <v>3.6999999999999998E-2</v>
      </c>
    </row>
    <row r="8" spans="1:8" x14ac:dyDescent="0.25">
      <c r="A8" t="s">
        <v>190</v>
      </c>
      <c r="C8">
        <v>43</v>
      </c>
      <c r="D8">
        <v>390</v>
      </c>
      <c r="E8">
        <v>19000</v>
      </c>
      <c r="F8" s="23">
        <v>23000</v>
      </c>
      <c r="G8" s="24">
        <v>31000</v>
      </c>
      <c r="H8" s="24">
        <v>390</v>
      </c>
    </row>
    <row r="9" spans="1:8" x14ac:dyDescent="0.25">
      <c r="A9" t="s">
        <v>191</v>
      </c>
      <c r="C9">
        <v>7.8</v>
      </c>
      <c r="D9">
        <v>4.5999999999999996</v>
      </c>
      <c r="E9">
        <v>33</v>
      </c>
      <c r="F9" s="23">
        <v>41</v>
      </c>
      <c r="G9" s="24">
        <v>55</v>
      </c>
      <c r="H9" s="24">
        <v>4.5999999999999996</v>
      </c>
    </row>
    <row r="10" spans="1:8" x14ac:dyDescent="0.25">
      <c r="A10" t="s">
        <v>192</v>
      </c>
      <c r="C10">
        <v>0.52</v>
      </c>
      <c r="D10">
        <v>0.2</v>
      </c>
      <c r="E10">
        <v>7.2</v>
      </c>
      <c r="F10" s="23">
        <v>8.8000000000000007</v>
      </c>
      <c r="G10" s="24">
        <v>12</v>
      </c>
      <c r="H10" s="24">
        <v>13</v>
      </c>
    </row>
    <row r="11" spans="1:8" x14ac:dyDescent="0.25">
      <c r="A11" t="s">
        <v>193</v>
      </c>
      <c r="C11">
        <v>3800</v>
      </c>
      <c r="D11">
        <v>2100</v>
      </c>
      <c r="E11">
        <v>17000</v>
      </c>
      <c r="F11" s="23">
        <v>20000</v>
      </c>
      <c r="G11" s="24">
        <v>25000</v>
      </c>
      <c r="H11" s="24">
        <v>2100</v>
      </c>
    </row>
    <row r="12" spans="1:8" x14ac:dyDescent="0.25">
      <c r="A12" t="s">
        <v>194</v>
      </c>
      <c r="C12">
        <v>0.12</v>
      </c>
      <c r="D12">
        <v>0.28000000000000003</v>
      </c>
      <c r="E12">
        <v>1.7</v>
      </c>
      <c r="F12" s="23">
        <v>2</v>
      </c>
      <c r="G12" s="24">
        <v>2.7</v>
      </c>
      <c r="H12" s="24">
        <v>0.28000000000000003</v>
      </c>
    </row>
    <row r="13" spans="1:8" x14ac:dyDescent="0.25">
      <c r="A13" t="s">
        <v>195</v>
      </c>
      <c r="C13">
        <v>1900</v>
      </c>
      <c r="D13">
        <v>0.52</v>
      </c>
      <c r="E13">
        <v>770</v>
      </c>
      <c r="F13" s="23">
        <v>770</v>
      </c>
      <c r="G13" s="24">
        <v>770</v>
      </c>
      <c r="H13" s="24">
        <v>0.52</v>
      </c>
    </row>
    <row r="14" spans="1:8" x14ac:dyDescent="0.25">
      <c r="A14" t="s">
        <v>196</v>
      </c>
      <c r="C14">
        <v>4.5999999999999996</v>
      </c>
      <c r="D14">
        <v>2.1999999999999999E-2</v>
      </c>
      <c r="E14">
        <v>8.1</v>
      </c>
      <c r="F14" s="23">
        <v>11</v>
      </c>
      <c r="G14" s="24">
        <v>16</v>
      </c>
      <c r="H14" s="24">
        <v>2.1999999999999999E-2</v>
      </c>
    </row>
    <row r="15" spans="1:8" x14ac:dyDescent="0.25">
      <c r="A15" t="s">
        <v>197</v>
      </c>
      <c r="C15">
        <v>3.4000000000000002E-2</v>
      </c>
      <c r="D15">
        <v>0.27</v>
      </c>
      <c r="E15">
        <v>0.17</v>
      </c>
      <c r="F15" s="23">
        <v>0.2</v>
      </c>
      <c r="G15" s="24">
        <v>0.28000000000000003</v>
      </c>
      <c r="H15" s="24">
        <v>0.27</v>
      </c>
    </row>
    <row r="16" spans="1:8" x14ac:dyDescent="0.25">
      <c r="A16" t="s">
        <v>198</v>
      </c>
      <c r="C16">
        <v>0.34</v>
      </c>
      <c r="D16">
        <v>2.7</v>
      </c>
      <c r="E16">
        <v>1.7</v>
      </c>
      <c r="F16" s="23">
        <v>2</v>
      </c>
      <c r="G16" s="24">
        <v>2.8</v>
      </c>
      <c r="H16" s="24">
        <v>2.7</v>
      </c>
    </row>
    <row r="17" spans="1:8" x14ac:dyDescent="0.25">
      <c r="A17" t="s">
        <v>199</v>
      </c>
      <c r="C17">
        <v>0.26</v>
      </c>
      <c r="D17">
        <v>15000</v>
      </c>
      <c r="E17">
        <v>1900</v>
      </c>
      <c r="F17" s="23">
        <v>2300</v>
      </c>
      <c r="G17" s="24">
        <v>3100</v>
      </c>
      <c r="H17" s="24">
        <v>15000</v>
      </c>
    </row>
    <row r="18" spans="1:8" x14ac:dyDescent="0.25">
      <c r="A18" t="s">
        <v>200</v>
      </c>
      <c r="C18" t="s">
        <v>440</v>
      </c>
      <c r="D18">
        <v>27</v>
      </c>
      <c r="E18">
        <v>17</v>
      </c>
      <c r="F18" s="23">
        <v>20</v>
      </c>
      <c r="G18" s="24">
        <v>28</v>
      </c>
      <c r="H18" s="24">
        <v>27</v>
      </c>
    </row>
    <row r="19" spans="1:8" x14ac:dyDescent="0.25">
      <c r="A19" t="s">
        <v>201</v>
      </c>
      <c r="C19">
        <v>75000</v>
      </c>
      <c r="D19">
        <v>200</v>
      </c>
      <c r="E19">
        <v>100000</v>
      </c>
      <c r="F19" s="23">
        <v>100000</v>
      </c>
      <c r="G19" s="24">
        <v>100000</v>
      </c>
      <c r="H19" s="24">
        <v>200</v>
      </c>
    </row>
    <row r="20" spans="1:8" x14ac:dyDescent="0.25">
      <c r="A20" t="s">
        <v>202</v>
      </c>
      <c r="C20">
        <v>2000</v>
      </c>
      <c r="D20">
        <v>5.7</v>
      </c>
      <c r="E20">
        <v>6700</v>
      </c>
      <c r="F20" s="23">
        <v>8200</v>
      </c>
      <c r="G20" s="24">
        <v>11000</v>
      </c>
      <c r="H20" s="24">
        <v>5.7</v>
      </c>
    </row>
    <row r="21" spans="1:8" x14ac:dyDescent="0.25">
      <c r="A21" t="s">
        <v>203</v>
      </c>
      <c r="C21">
        <v>25</v>
      </c>
      <c r="D21">
        <v>260</v>
      </c>
      <c r="E21">
        <v>170</v>
      </c>
      <c r="F21" s="23">
        <v>200</v>
      </c>
      <c r="G21" s="24">
        <v>270</v>
      </c>
      <c r="H21" s="24">
        <v>260</v>
      </c>
    </row>
    <row r="22" spans="1:8" x14ac:dyDescent="0.25">
      <c r="A22" t="s">
        <v>204</v>
      </c>
      <c r="C22">
        <v>0.14000000000000001</v>
      </c>
      <c r="D22">
        <v>4.2000000000000002E-4</v>
      </c>
      <c r="E22">
        <v>2.1</v>
      </c>
      <c r="F22" s="23">
        <v>2.8</v>
      </c>
      <c r="G22" s="24">
        <v>4</v>
      </c>
      <c r="H22" s="24">
        <v>4.2000000000000002E-4</v>
      </c>
    </row>
    <row r="23" spans="1:8" x14ac:dyDescent="0.25">
      <c r="A23" t="s">
        <v>205</v>
      </c>
      <c r="C23">
        <v>56</v>
      </c>
      <c r="D23">
        <v>88</v>
      </c>
      <c r="E23">
        <v>410</v>
      </c>
      <c r="F23" s="23">
        <v>500</v>
      </c>
      <c r="G23" s="24">
        <v>680</v>
      </c>
      <c r="H23" s="24">
        <v>88</v>
      </c>
    </row>
    <row r="24" spans="1:8" x14ac:dyDescent="0.25">
      <c r="A24" t="s">
        <v>206</v>
      </c>
      <c r="C24">
        <v>62</v>
      </c>
      <c r="D24">
        <v>0.36</v>
      </c>
      <c r="E24">
        <v>160</v>
      </c>
      <c r="F24" s="23">
        <v>160</v>
      </c>
      <c r="G24" s="24">
        <v>160</v>
      </c>
      <c r="H24" s="24">
        <v>0.36</v>
      </c>
    </row>
    <row r="25" spans="1:8" x14ac:dyDescent="0.25">
      <c r="A25" t="s">
        <v>207</v>
      </c>
      <c r="C25">
        <v>1.3</v>
      </c>
      <c r="D25">
        <v>4.3E-3</v>
      </c>
      <c r="E25">
        <v>2.6</v>
      </c>
      <c r="F25" s="23">
        <v>3.6</v>
      </c>
      <c r="G25" s="24">
        <v>5.3</v>
      </c>
      <c r="H25" s="24">
        <v>4.3E-3</v>
      </c>
    </row>
    <row r="26" spans="1:8" x14ac:dyDescent="0.25">
      <c r="A26" t="s">
        <v>208</v>
      </c>
      <c r="C26">
        <v>33</v>
      </c>
      <c r="D26">
        <v>0.1</v>
      </c>
      <c r="E26">
        <v>170</v>
      </c>
      <c r="F26" s="23">
        <v>240</v>
      </c>
      <c r="G26" s="24">
        <v>340</v>
      </c>
      <c r="H26" s="24">
        <v>0.1</v>
      </c>
    </row>
    <row r="27" spans="1:8" x14ac:dyDescent="0.25">
      <c r="A27" t="s">
        <v>209</v>
      </c>
      <c r="C27">
        <v>7.5</v>
      </c>
      <c r="D27">
        <v>2.4E-2</v>
      </c>
      <c r="E27">
        <v>7.4</v>
      </c>
      <c r="F27" s="23">
        <v>10</v>
      </c>
      <c r="G27" s="24">
        <v>15</v>
      </c>
      <c r="H27" s="24">
        <v>2.4E-2</v>
      </c>
    </row>
    <row r="28" spans="1:8" x14ac:dyDescent="0.25">
      <c r="A28" t="s">
        <v>210</v>
      </c>
      <c r="C28">
        <v>0.18</v>
      </c>
      <c r="D28">
        <v>1.1999999999999999E-3</v>
      </c>
      <c r="E28">
        <v>0.64</v>
      </c>
      <c r="F28" s="23">
        <v>0.86</v>
      </c>
      <c r="G28" s="24">
        <v>1.2</v>
      </c>
      <c r="H28" s="24">
        <v>1.1999999999999999E-3</v>
      </c>
    </row>
    <row r="29" spans="1:8" x14ac:dyDescent="0.25">
      <c r="A29" t="s">
        <v>211</v>
      </c>
      <c r="C29">
        <v>2000</v>
      </c>
      <c r="D29">
        <v>5.3</v>
      </c>
      <c r="E29">
        <v>6500</v>
      </c>
      <c r="F29" s="23">
        <v>6500</v>
      </c>
      <c r="G29" s="24">
        <v>6500</v>
      </c>
      <c r="H29" s="24">
        <v>5.3</v>
      </c>
    </row>
    <row r="30" spans="1:8" x14ac:dyDescent="0.25">
      <c r="A30" t="s">
        <v>212</v>
      </c>
      <c r="C30">
        <v>160</v>
      </c>
      <c r="D30">
        <v>16</v>
      </c>
      <c r="E30">
        <v>3000</v>
      </c>
      <c r="F30" s="23">
        <v>3700</v>
      </c>
      <c r="G30" s="24">
        <v>5000</v>
      </c>
      <c r="H30" s="24">
        <v>16</v>
      </c>
    </row>
    <row r="31" spans="1:8" x14ac:dyDescent="0.25">
      <c r="A31" t="s">
        <v>213</v>
      </c>
      <c r="C31">
        <v>1000</v>
      </c>
      <c r="D31">
        <v>23</v>
      </c>
      <c r="E31">
        <v>20</v>
      </c>
      <c r="F31" s="23">
        <v>20</v>
      </c>
      <c r="G31" s="24">
        <v>20</v>
      </c>
      <c r="H31" s="24">
        <v>23</v>
      </c>
    </row>
    <row r="32" spans="1:8" x14ac:dyDescent="0.25">
      <c r="A32" t="s">
        <v>214</v>
      </c>
      <c r="C32">
        <v>2000</v>
      </c>
      <c r="D32">
        <v>42</v>
      </c>
      <c r="E32">
        <v>28</v>
      </c>
      <c r="F32" s="23">
        <v>28</v>
      </c>
      <c r="G32" s="24">
        <v>28</v>
      </c>
      <c r="H32" s="24">
        <v>42</v>
      </c>
    </row>
    <row r="33" spans="1:8" x14ac:dyDescent="0.25">
      <c r="A33" t="s">
        <v>215</v>
      </c>
      <c r="C33">
        <v>690</v>
      </c>
      <c r="D33">
        <v>11</v>
      </c>
      <c r="E33">
        <v>35</v>
      </c>
      <c r="F33" s="23">
        <v>35</v>
      </c>
      <c r="G33" s="24">
        <v>35</v>
      </c>
      <c r="H33" s="24">
        <v>11</v>
      </c>
    </row>
    <row r="34" spans="1:8" x14ac:dyDescent="0.25">
      <c r="A34" t="s">
        <v>216</v>
      </c>
      <c r="C34">
        <v>9.1999999999999993</v>
      </c>
      <c r="D34">
        <v>9.1</v>
      </c>
      <c r="E34">
        <v>76</v>
      </c>
      <c r="F34" s="23">
        <v>92</v>
      </c>
      <c r="G34" s="24">
        <v>120</v>
      </c>
      <c r="H34" s="24">
        <v>9.1</v>
      </c>
    </row>
    <row r="35" spans="1:8" x14ac:dyDescent="0.25">
      <c r="A35" t="s">
        <v>217</v>
      </c>
      <c r="C35">
        <v>810</v>
      </c>
      <c r="D35">
        <v>2.9</v>
      </c>
      <c r="E35">
        <v>500</v>
      </c>
      <c r="F35" s="23">
        <v>500</v>
      </c>
      <c r="G35" s="24">
        <v>500</v>
      </c>
      <c r="H35" s="24">
        <v>2.9</v>
      </c>
    </row>
    <row r="36" spans="1:8" x14ac:dyDescent="0.25">
      <c r="A36" t="s">
        <v>218</v>
      </c>
      <c r="C36">
        <v>4.5999999999999996</v>
      </c>
      <c r="D36">
        <v>2.1000000000000001E-2</v>
      </c>
      <c r="E36">
        <v>6.6</v>
      </c>
      <c r="F36" s="23">
        <v>9.1</v>
      </c>
      <c r="G36" s="24">
        <v>13</v>
      </c>
      <c r="H36" s="24">
        <v>2.1000000000000001E-2</v>
      </c>
    </row>
    <row r="37" spans="1:8" x14ac:dyDescent="0.25">
      <c r="A37" t="s">
        <v>219</v>
      </c>
      <c r="C37">
        <v>0.2</v>
      </c>
      <c r="D37">
        <v>0.18</v>
      </c>
      <c r="E37">
        <v>17</v>
      </c>
      <c r="F37" s="23">
        <v>22</v>
      </c>
      <c r="G37" s="24">
        <v>29</v>
      </c>
      <c r="H37" s="24">
        <v>0.18</v>
      </c>
    </row>
    <row r="38" spans="1:8" x14ac:dyDescent="0.25">
      <c r="A38" t="s">
        <v>220</v>
      </c>
      <c r="C38">
        <v>3.5000000000000003E-2</v>
      </c>
      <c r="D38">
        <v>8.3000000000000001E-3</v>
      </c>
      <c r="E38">
        <v>0.57999999999999996</v>
      </c>
      <c r="F38" s="23">
        <v>0.7</v>
      </c>
      <c r="G38" s="24">
        <v>0.95</v>
      </c>
      <c r="H38" s="24">
        <v>8.3000000000000001E-3</v>
      </c>
    </row>
    <row r="39" spans="1:8" x14ac:dyDescent="0.25">
      <c r="A39" t="s">
        <v>221</v>
      </c>
      <c r="C39">
        <v>3.7</v>
      </c>
      <c r="D39">
        <v>1.4999999999999999E-2</v>
      </c>
      <c r="E39">
        <v>29</v>
      </c>
      <c r="F39" s="23">
        <v>35</v>
      </c>
      <c r="G39" s="24">
        <v>47</v>
      </c>
      <c r="H39" s="24">
        <v>1.4999999999999999E-2</v>
      </c>
    </row>
    <row r="40" spans="1:8" x14ac:dyDescent="0.25">
      <c r="A40" t="s">
        <v>222</v>
      </c>
      <c r="C40">
        <v>78</v>
      </c>
      <c r="D40">
        <v>0.46</v>
      </c>
      <c r="E40">
        <v>180</v>
      </c>
      <c r="F40" s="23">
        <v>180</v>
      </c>
      <c r="G40" s="24">
        <v>180</v>
      </c>
      <c r="H40" s="24">
        <v>0.46</v>
      </c>
    </row>
    <row r="41" spans="1:8" x14ac:dyDescent="0.25">
      <c r="A41" t="s">
        <v>223</v>
      </c>
      <c r="C41">
        <v>2.2000000000000002</v>
      </c>
      <c r="D41">
        <v>7.1000000000000004E-3</v>
      </c>
      <c r="E41">
        <v>2.9</v>
      </c>
      <c r="F41" s="23">
        <v>4</v>
      </c>
      <c r="G41" s="24">
        <v>5.8</v>
      </c>
      <c r="H41" s="24">
        <v>7.1000000000000004E-3</v>
      </c>
    </row>
    <row r="42" spans="1:8" x14ac:dyDescent="0.25">
      <c r="A42" t="s">
        <v>224</v>
      </c>
      <c r="C42">
        <v>190</v>
      </c>
      <c r="D42">
        <v>0.61</v>
      </c>
      <c r="E42">
        <v>120</v>
      </c>
      <c r="F42" s="23">
        <v>170</v>
      </c>
      <c r="G42" s="24">
        <v>250</v>
      </c>
      <c r="H42" s="24">
        <v>0.61</v>
      </c>
    </row>
    <row r="43" spans="1:8" x14ac:dyDescent="0.25">
      <c r="A43" t="s">
        <v>225</v>
      </c>
      <c r="C43">
        <v>750</v>
      </c>
      <c r="D43">
        <v>26</v>
      </c>
      <c r="E43">
        <v>5100</v>
      </c>
      <c r="F43" s="23">
        <v>6200</v>
      </c>
      <c r="G43" s="24">
        <v>8400</v>
      </c>
      <c r="H43" s="24">
        <v>26</v>
      </c>
    </row>
    <row r="44" spans="1:8" x14ac:dyDescent="0.25">
      <c r="A44" t="s">
        <v>226</v>
      </c>
      <c r="C44">
        <v>91</v>
      </c>
      <c r="D44">
        <v>0.71</v>
      </c>
      <c r="E44">
        <v>410</v>
      </c>
      <c r="F44" s="23">
        <v>510</v>
      </c>
      <c r="G44" s="24">
        <v>680</v>
      </c>
      <c r="H44" s="24">
        <v>0.71</v>
      </c>
    </row>
    <row r="45" spans="1:8" x14ac:dyDescent="0.25">
      <c r="A45" t="s">
        <v>227</v>
      </c>
      <c r="C45">
        <v>22000</v>
      </c>
      <c r="D45">
        <v>100000</v>
      </c>
      <c r="E45">
        <v>100000</v>
      </c>
      <c r="F45" s="23">
        <v>100000</v>
      </c>
      <c r="G45" s="24">
        <v>100000</v>
      </c>
      <c r="H45" s="24">
        <v>100000</v>
      </c>
    </row>
    <row r="46" spans="1:8" x14ac:dyDescent="0.25">
      <c r="A46" t="s">
        <v>228</v>
      </c>
      <c r="C46">
        <v>0.35</v>
      </c>
      <c r="D46">
        <v>8.8999999999999996E-2</v>
      </c>
      <c r="E46">
        <v>3.2</v>
      </c>
      <c r="F46" s="23">
        <v>3.9</v>
      </c>
      <c r="G46" s="24">
        <v>4.9000000000000004</v>
      </c>
      <c r="H46" s="24">
        <v>8.8999999999999996E-2</v>
      </c>
    </row>
    <row r="47" spans="1:8" x14ac:dyDescent="0.25">
      <c r="A47" t="s">
        <v>229</v>
      </c>
      <c r="C47" t="s">
        <v>367</v>
      </c>
      <c r="D47" t="s">
        <v>367</v>
      </c>
      <c r="E47" t="s">
        <v>367</v>
      </c>
      <c r="F47" s="23" t="s">
        <v>367</v>
      </c>
      <c r="G47" s="24" t="s">
        <v>367</v>
      </c>
      <c r="H47" s="24" t="s">
        <v>367</v>
      </c>
    </row>
    <row r="48" spans="1:8" x14ac:dyDescent="0.25">
      <c r="A48" t="s">
        <v>230</v>
      </c>
      <c r="C48">
        <v>2</v>
      </c>
      <c r="D48">
        <v>82</v>
      </c>
      <c r="E48">
        <v>170</v>
      </c>
      <c r="F48" s="23">
        <v>200</v>
      </c>
      <c r="G48" s="24">
        <v>280</v>
      </c>
      <c r="H48" s="24">
        <v>82</v>
      </c>
    </row>
    <row r="49" spans="1:8" x14ac:dyDescent="0.25">
      <c r="A49" t="s">
        <v>231</v>
      </c>
      <c r="C49">
        <v>800</v>
      </c>
      <c r="D49">
        <v>370</v>
      </c>
      <c r="E49">
        <v>3300</v>
      </c>
      <c r="F49" s="23">
        <v>4100</v>
      </c>
      <c r="G49" s="24">
        <v>5500</v>
      </c>
      <c r="H49" s="24">
        <v>370</v>
      </c>
    </row>
    <row r="50" spans="1:8" x14ac:dyDescent="0.25">
      <c r="A50" t="s">
        <v>232</v>
      </c>
      <c r="C50">
        <v>930</v>
      </c>
      <c r="D50">
        <v>6.1</v>
      </c>
      <c r="E50">
        <v>3400</v>
      </c>
      <c r="F50" s="23">
        <v>4100</v>
      </c>
      <c r="G50" s="24">
        <v>5500</v>
      </c>
      <c r="H50" s="24">
        <v>6.1</v>
      </c>
    </row>
    <row r="51" spans="1:8" x14ac:dyDescent="0.25">
      <c r="A51" t="s">
        <v>233</v>
      </c>
      <c r="C51">
        <v>930</v>
      </c>
      <c r="D51">
        <v>6.2</v>
      </c>
      <c r="E51">
        <v>3400</v>
      </c>
      <c r="F51" s="23">
        <v>4100</v>
      </c>
      <c r="G51" s="24">
        <v>5500</v>
      </c>
      <c r="H51" s="24">
        <v>6.2</v>
      </c>
    </row>
    <row r="52" spans="1:8" x14ac:dyDescent="0.25">
      <c r="A52" t="s">
        <v>234</v>
      </c>
      <c r="C52">
        <v>1900</v>
      </c>
      <c r="D52">
        <v>12</v>
      </c>
      <c r="E52">
        <v>6700</v>
      </c>
      <c r="F52" s="23">
        <v>8200</v>
      </c>
      <c r="G52" s="24">
        <v>11000</v>
      </c>
      <c r="H52" s="24">
        <v>12</v>
      </c>
    </row>
    <row r="53" spans="1:8" x14ac:dyDescent="0.25">
      <c r="A53" t="s">
        <v>235</v>
      </c>
      <c r="C53">
        <v>450</v>
      </c>
      <c r="D53">
        <v>5.6</v>
      </c>
      <c r="E53">
        <v>54</v>
      </c>
      <c r="F53" s="23">
        <v>54</v>
      </c>
      <c r="G53" s="24">
        <v>54</v>
      </c>
      <c r="H53" s="24">
        <v>5.6</v>
      </c>
    </row>
    <row r="54" spans="1:8" x14ac:dyDescent="0.25">
      <c r="A54" t="s">
        <v>236</v>
      </c>
      <c r="C54">
        <v>1.5</v>
      </c>
      <c r="D54">
        <v>0.2</v>
      </c>
      <c r="E54">
        <v>26</v>
      </c>
      <c r="F54" s="23">
        <v>34</v>
      </c>
      <c r="G54" s="24">
        <v>48</v>
      </c>
      <c r="H54" s="24">
        <v>0.2</v>
      </c>
    </row>
    <row r="55" spans="1:8" x14ac:dyDescent="0.25">
      <c r="A55" t="s">
        <v>237</v>
      </c>
      <c r="C55">
        <v>13000</v>
      </c>
      <c r="D55">
        <v>150</v>
      </c>
      <c r="E55">
        <v>77</v>
      </c>
      <c r="F55" s="23">
        <v>77</v>
      </c>
      <c r="G55" s="24">
        <v>77</v>
      </c>
      <c r="H55" s="24">
        <v>150</v>
      </c>
    </row>
    <row r="56" spans="1:8" x14ac:dyDescent="0.25">
      <c r="A56" t="s">
        <v>238</v>
      </c>
      <c r="C56">
        <v>0.32</v>
      </c>
      <c r="D56">
        <v>0.49</v>
      </c>
      <c r="E56">
        <v>24</v>
      </c>
      <c r="F56" s="23">
        <v>29</v>
      </c>
      <c r="G56" s="24">
        <v>40</v>
      </c>
      <c r="H56" s="24">
        <v>0.49</v>
      </c>
    </row>
    <row r="57" spans="1:8" x14ac:dyDescent="0.25">
      <c r="A57" t="s">
        <v>239</v>
      </c>
      <c r="C57">
        <v>0.46</v>
      </c>
      <c r="D57">
        <v>0.72</v>
      </c>
      <c r="E57">
        <v>20</v>
      </c>
      <c r="F57" s="23">
        <v>25</v>
      </c>
      <c r="G57" s="24">
        <v>34</v>
      </c>
      <c r="H57" s="24">
        <v>0.72</v>
      </c>
    </row>
    <row r="58" spans="1:8" x14ac:dyDescent="0.25">
      <c r="A58" t="s">
        <v>240</v>
      </c>
      <c r="C58">
        <v>2.2999999999999998</v>
      </c>
      <c r="D58">
        <v>5.0999999999999996</v>
      </c>
      <c r="E58">
        <v>20</v>
      </c>
      <c r="F58" s="23">
        <v>24</v>
      </c>
      <c r="G58" s="24">
        <v>33</v>
      </c>
      <c r="H58" s="24">
        <v>5.0999999999999996</v>
      </c>
    </row>
    <row r="59" spans="1:8" x14ac:dyDescent="0.25">
      <c r="A59" t="s">
        <v>241</v>
      </c>
      <c r="C59">
        <v>3.4000000000000002E-2</v>
      </c>
      <c r="D59">
        <v>0.87</v>
      </c>
      <c r="E59">
        <v>0.17</v>
      </c>
      <c r="F59" s="23">
        <v>0.2</v>
      </c>
      <c r="G59" s="24">
        <v>0.28000000000000003</v>
      </c>
      <c r="H59" s="24">
        <v>0.87</v>
      </c>
    </row>
    <row r="60" spans="1:8" x14ac:dyDescent="0.25">
      <c r="A60" t="s">
        <v>242</v>
      </c>
      <c r="C60">
        <v>7.9</v>
      </c>
      <c r="D60">
        <v>0.97</v>
      </c>
      <c r="E60">
        <v>77</v>
      </c>
      <c r="F60" s="23">
        <v>95</v>
      </c>
      <c r="G60" s="24">
        <v>130</v>
      </c>
      <c r="H60" s="24">
        <v>0.97</v>
      </c>
    </row>
    <row r="61" spans="1:8" x14ac:dyDescent="0.25">
      <c r="A61" t="s">
        <v>243</v>
      </c>
      <c r="C61">
        <v>8.6999999999999993</v>
      </c>
      <c r="D61">
        <v>2.7000000000000001E-3</v>
      </c>
      <c r="E61">
        <v>88</v>
      </c>
      <c r="F61" s="23">
        <v>110</v>
      </c>
      <c r="G61" s="24">
        <v>140</v>
      </c>
      <c r="H61" s="24">
        <v>2.7000000000000001E-3</v>
      </c>
    </row>
    <row r="62" spans="1:8" x14ac:dyDescent="0.25">
      <c r="A62" t="s">
        <v>244</v>
      </c>
      <c r="C62">
        <v>7.4999999999999997E-2</v>
      </c>
      <c r="D62">
        <v>2.4000000000000001E-4</v>
      </c>
      <c r="E62">
        <v>0.31</v>
      </c>
      <c r="F62" s="23">
        <v>0.42</v>
      </c>
      <c r="G62" s="24">
        <v>0.62</v>
      </c>
      <c r="H62" s="24">
        <v>2.4000000000000001E-4</v>
      </c>
    </row>
    <row r="63" spans="1:8" x14ac:dyDescent="0.25">
      <c r="A63" t="s">
        <v>245</v>
      </c>
      <c r="C63">
        <v>8.3000000000000007</v>
      </c>
      <c r="D63">
        <v>2.5000000000000001E-2</v>
      </c>
      <c r="E63">
        <v>22</v>
      </c>
      <c r="F63" s="23">
        <v>31</v>
      </c>
      <c r="G63" s="24">
        <v>45</v>
      </c>
      <c r="H63" s="24">
        <v>2.5000000000000001E-2</v>
      </c>
    </row>
    <row r="64" spans="1:8" x14ac:dyDescent="0.25">
      <c r="A64" t="s">
        <v>246</v>
      </c>
      <c r="C64">
        <v>900</v>
      </c>
      <c r="D64">
        <v>16</v>
      </c>
      <c r="E64">
        <v>6700</v>
      </c>
      <c r="F64" s="23">
        <v>8200</v>
      </c>
      <c r="G64" s="24">
        <v>11000</v>
      </c>
      <c r="H64" s="24">
        <v>16</v>
      </c>
    </row>
    <row r="65" spans="1:8" x14ac:dyDescent="0.25">
      <c r="A65" t="s">
        <v>247</v>
      </c>
      <c r="C65">
        <v>300</v>
      </c>
      <c r="D65">
        <v>2.4</v>
      </c>
      <c r="E65">
        <v>78</v>
      </c>
      <c r="F65" s="23">
        <v>78</v>
      </c>
      <c r="G65" s="24">
        <v>78</v>
      </c>
      <c r="H65" s="24">
        <v>2.4</v>
      </c>
    </row>
    <row r="66" spans="1:8" x14ac:dyDescent="0.25">
      <c r="A66" t="s">
        <v>248</v>
      </c>
      <c r="C66">
        <v>300</v>
      </c>
      <c r="D66">
        <v>2.2999999999999998</v>
      </c>
      <c r="E66">
        <v>62</v>
      </c>
      <c r="F66" s="23">
        <v>62</v>
      </c>
      <c r="G66" s="24">
        <v>62</v>
      </c>
      <c r="H66" s="24">
        <v>2.2999999999999998</v>
      </c>
    </row>
    <row r="67" spans="1:8" x14ac:dyDescent="0.25">
      <c r="A67" t="s">
        <v>249</v>
      </c>
      <c r="C67">
        <v>4.8</v>
      </c>
      <c r="D67">
        <v>3.6999999999999998E-2</v>
      </c>
      <c r="E67">
        <v>15</v>
      </c>
      <c r="F67" s="23">
        <v>21</v>
      </c>
      <c r="G67" s="24">
        <v>31</v>
      </c>
      <c r="H67" s="24">
        <v>3.6999999999999998E-2</v>
      </c>
    </row>
    <row r="68" spans="1:8" x14ac:dyDescent="0.25">
      <c r="A68" t="s">
        <v>250</v>
      </c>
      <c r="C68">
        <v>1.3</v>
      </c>
      <c r="D68">
        <v>5.6000000000000001E-2</v>
      </c>
      <c r="E68">
        <v>13</v>
      </c>
      <c r="F68" s="23">
        <v>16</v>
      </c>
      <c r="G68" s="24">
        <v>21</v>
      </c>
      <c r="H68" s="24">
        <v>5.6000000000000001E-2</v>
      </c>
    </row>
    <row r="69" spans="1:8" x14ac:dyDescent="0.25">
      <c r="A69" t="s">
        <v>251</v>
      </c>
      <c r="C69">
        <v>200</v>
      </c>
      <c r="D69">
        <v>3.9</v>
      </c>
      <c r="E69">
        <v>110</v>
      </c>
      <c r="F69" s="23">
        <v>150</v>
      </c>
      <c r="G69" s="24">
        <v>220</v>
      </c>
      <c r="H69" s="24">
        <v>3.9</v>
      </c>
    </row>
    <row r="70" spans="1:8" x14ac:dyDescent="0.25">
      <c r="A70" t="s">
        <v>252</v>
      </c>
      <c r="C70">
        <v>28</v>
      </c>
      <c r="D70">
        <v>9.1999999999999998E-2</v>
      </c>
      <c r="E70">
        <v>33</v>
      </c>
      <c r="F70" s="23">
        <v>46</v>
      </c>
      <c r="G70" s="24">
        <v>67</v>
      </c>
      <c r="H70" s="24">
        <v>9.1999999999999998E-2</v>
      </c>
    </row>
    <row r="71" spans="1:8" x14ac:dyDescent="0.25">
      <c r="A71" t="s">
        <v>253</v>
      </c>
      <c r="C71">
        <v>1.7</v>
      </c>
      <c r="D71">
        <v>5.4999999999999997E-3</v>
      </c>
      <c r="E71">
        <v>3.9</v>
      </c>
      <c r="F71" s="23">
        <v>5.5</v>
      </c>
      <c r="G71" s="24">
        <v>7.9</v>
      </c>
      <c r="H71" s="24">
        <v>5.4999999999999997E-3</v>
      </c>
    </row>
    <row r="72" spans="1:8" x14ac:dyDescent="0.25">
      <c r="A72" t="s">
        <v>254</v>
      </c>
      <c r="C72">
        <v>280</v>
      </c>
      <c r="D72">
        <v>1.2</v>
      </c>
      <c r="E72">
        <v>240</v>
      </c>
      <c r="F72" s="23">
        <v>330</v>
      </c>
      <c r="G72" s="24">
        <v>480</v>
      </c>
      <c r="H72" s="24">
        <v>1.2</v>
      </c>
    </row>
    <row r="73" spans="1:8" x14ac:dyDescent="0.25">
      <c r="A73" t="s">
        <v>255</v>
      </c>
      <c r="C73">
        <v>36</v>
      </c>
      <c r="D73">
        <v>0.12</v>
      </c>
      <c r="E73">
        <v>170</v>
      </c>
      <c r="F73" s="23">
        <v>200</v>
      </c>
      <c r="G73" s="24">
        <v>270</v>
      </c>
      <c r="H73" s="24">
        <v>0.12</v>
      </c>
    </row>
    <row r="74" spans="1:8" x14ac:dyDescent="0.25">
      <c r="A74" t="s">
        <v>256</v>
      </c>
      <c r="C74">
        <v>360</v>
      </c>
      <c r="D74">
        <v>1.3</v>
      </c>
      <c r="E74">
        <v>960</v>
      </c>
      <c r="F74" s="23">
        <v>960</v>
      </c>
      <c r="G74" s="24">
        <v>960</v>
      </c>
      <c r="H74" s="24">
        <v>1.3</v>
      </c>
    </row>
    <row r="75" spans="1:8" x14ac:dyDescent="0.25">
      <c r="A75" t="s">
        <v>257</v>
      </c>
      <c r="C75">
        <v>46</v>
      </c>
      <c r="D75">
        <v>0.21</v>
      </c>
      <c r="E75">
        <v>200</v>
      </c>
      <c r="F75" s="23">
        <v>250</v>
      </c>
      <c r="G75" s="24">
        <v>330</v>
      </c>
      <c r="H75" s="24">
        <v>0.21</v>
      </c>
    </row>
    <row r="76" spans="1:8" x14ac:dyDescent="0.25">
      <c r="A76" t="s">
        <v>258</v>
      </c>
      <c r="C76">
        <v>170</v>
      </c>
      <c r="D76">
        <v>0.53</v>
      </c>
      <c r="E76">
        <v>740</v>
      </c>
      <c r="F76" s="23">
        <v>910</v>
      </c>
      <c r="G76" s="24">
        <v>1200</v>
      </c>
      <c r="H76" s="24">
        <v>0.53</v>
      </c>
    </row>
    <row r="77" spans="1:8" x14ac:dyDescent="0.25">
      <c r="A77" t="s">
        <v>259</v>
      </c>
      <c r="C77">
        <v>4.4000000000000004</v>
      </c>
      <c r="D77">
        <v>1.6E-2</v>
      </c>
      <c r="E77">
        <v>8.6</v>
      </c>
      <c r="F77" s="23">
        <v>11</v>
      </c>
      <c r="G77" s="24">
        <v>16</v>
      </c>
      <c r="H77" s="24">
        <v>1.6E-2</v>
      </c>
    </row>
    <row r="78" spans="1:8" x14ac:dyDescent="0.25">
      <c r="A78" t="s">
        <v>260</v>
      </c>
      <c r="C78">
        <v>4.7</v>
      </c>
      <c r="D78">
        <v>1.7999999999999999E-2</v>
      </c>
      <c r="E78">
        <v>15</v>
      </c>
      <c r="F78" s="23">
        <v>21</v>
      </c>
      <c r="G78" s="24">
        <v>29</v>
      </c>
      <c r="H78" s="24">
        <v>1.7999999999999999E-2</v>
      </c>
    </row>
    <row r="79" spans="1:8" x14ac:dyDescent="0.25">
      <c r="A79" t="s">
        <v>261</v>
      </c>
      <c r="C79">
        <v>1.7999999999999999E-2</v>
      </c>
      <c r="D79">
        <v>4.7000000000000002E-3</v>
      </c>
      <c r="E79">
        <v>0.36</v>
      </c>
      <c r="F79" s="23">
        <v>0.44</v>
      </c>
      <c r="G79" s="24">
        <v>0.59</v>
      </c>
      <c r="H79" s="24">
        <v>4.7000000000000002E-3</v>
      </c>
    </row>
    <row r="80" spans="1:8" x14ac:dyDescent="0.25">
      <c r="A80" t="s">
        <v>262</v>
      </c>
      <c r="C80">
        <v>15000</v>
      </c>
      <c r="D80">
        <v>60</v>
      </c>
      <c r="E80">
        <v>54000</v>
      </c>
      <c r="F80" s="23">
        <v>66000</v>
      </c>
      <c r="G80" s="24">
        <v>88000</v>
      </c>
      <c r="H80" s="24">
        <v>60</v>
      </c>
    </row>
    <row r="81" spans="1:8" x14ac:dyDescent="0.25">
      <c r="A81" t="s">
        <v>263</v>
      </c>
      <c r="C81">
        <v>360</v>
      </c>
      <c r="D81">
        <v>3.2</v>
      </c>
      <c r="E81">
        <v>1300</v>
      </c>
      <c r="F81" s="23">
        <v>1600</v>
      </c>
      <c r="G81" s="24">
        <v>2200</v>
      </c>
      <c r="H81" s="24">
        <v>3.2</v>
      </c>
    </row>
    <row r="82" spans="1:8" x14ac:dyDescent="0.25">
      <c r="A82" t="s">
        <v>264</v>
      </c>
      <c r="C82">
        <v>16000</v>
      </c>
      <c r="D82">
        <v>48</v>
      </c>
      <c r="E82">
        <v>54000</v>
      </c>
      <c r="F82" s="23">
        <v>66000</v>
      </c>
      <c r="G82" s="24">
        <v>88000</v>
      </c>
      <c r="H82" s="24">
        <v>48</v>
      </c>
    </row>
    <row r="83" spans="1:8" x14ac:dyDescent="0.25">
      <c r="A83" t="s">
        <v>265</v>
      </c>
      <c r="C83">
        <v>1.9</v>
      </c>
      <c r="D83">
        <v>1.4E-2</v>
      </c>
      <c r="E83">
        <v>6.7</v>
      </c>
      <c r="F83" s="23">
        <v>8.1999999999999993</v>
      </c>
      <c r="G83" s="24">
        <v>11</v>
      </c>
      <c r="H83" s="24">
        <v>1.4E-2</v>
      </c>
    </row>
    <row r="84" spans="1:8" x14ac:dyDescent="0.25">
      <c r="A84" t="s">
        <v>266</v>
      </c>
      <c r="C84">
        <v>2</v>
      </c>
      <c r="D84">
        <v>1.4E-2</v>
      </c>
      <c r="E84">
        <v>6.7</v>
      </c>
      <c r="F84" s="23">
        <v>8.1999999999999993</v>
      </c>
      <c r="G84" s="24">
        <v>11</v>
      </c>
      <c r="H84" s="24">
        <v>1.4E-2</v>
      </c>
    </row>
    <row r="85" spans="1:8" x14ac:dyDescent="0.25">
      <c r="A85" t="s">
        <v>267</v>
      </c>
      <c r="C85">
        <v>2</v>
      </c>
      <c r="D85">
        <v>1.4E-2</v>
      </c>
      <c r="E85">
        <v>6.7</v>
      </c>
      <c r="F85" s="23">
        <v>8.1999999999999993</v>
      </c>
      <c r="G85" s="24">
        <v>11</v>
      </c>
      <c r="H85" s="24">
        <v>1.4E-2</v>
      </c>
    </row>
    <row r="86" spans="1:8" x14ac:dyDescent="0.25">
      <c r="A86" t="s">
        <v>268</v>
      </c>
      <c r="C86">
        <v>39</v>
      </c>
      <c r="D86">
        <v>0.34</v>
      </c>
      <c r="E86">
        <v>130</v>
      </c>
      <c r="F86" s="23">
        <v>160</v>
      </c>
      <c r="G86" s="24">
        <v>220</v>
      </c>
      <c r="H86" s="24">
        <v>0.34</v>
      </c>
    </row>
    <row r="87" spans="1:8" x14ac:dyDescent="0.25">
      <c r="A87" t="s">
        <v>269</v>
      </c>
      <c r="C87">
        <v>2.4</v>
      </c>
      <c r="D87">
        <v>2.4E-2</v>
      </c>
      <c r="E87">
        <v>18</v>
      </c>
      <c r="F87" s="23">
        <v>23</v>
      </c>
      <c r="G87" s="24">
        <v>30</v>
      </c>
      <c r="H87" s="24">
        <v>2.4E-2</v>
      </c>
    </row>
    <row r="88" spans="1:8" x14ac:dyDescent="0.25">
      <c r="A88" t="s">
        <v>270</v>
      </c>
      <c r="C88">
        <v>0.49</v>
      </c>
      <c r="D88">
        <v>5.0000000000000001E-3</v>
      </c>
      <c r="E88">
        <v>3.8</v>
      </c>
      <c r="F88" s="23">
        <v>4.7</v>
      </c>
      <c r="G88" s="24">
        <v>6.3</v>
      </c>
      <c r="H88" s="24">
        <v>5.0000000000000001E-3</v>
      </c>
    </row>
    <row r="89" spans="1:8" x14ac:dyDescent="0.25">
      <c r="A89" t="s">
        <v>271</v>
      </c>
      <c r="C89">
        <v>39</v>
      </c>
      <c r="D89">
        <v>0.25</v>
      </c>
      <c r="E89">
        <v>160</v>
      </c>
      <c r="F89" s="23">
        <v>200</v>
      </c>
      <c r="G89" s="24">
        <v>270</v>
      </c>
      <c r="H89" s="24">
        <v>0.25</v>
      </c>
    </row>
    <row r="90" spans="1:8" x14ac:dyDescent="0.25">
      <c r="A90" t="s">
        <v>272</v>
      </c>
      <c r="C90">
        <v>39</v>
      </c>
      <c r="D90">
        <v>0.25</v>
      </c>
      <c r="E90">
        <v>160</v>
      </c>
      <c r="F90" s="23">
        <v>200</v>
      </c>
      <c r="G90" s="24">
        <v>270</v>
      </c>
      <c r="H90" s="24">
        <v>0.25</v>
      </c>
    </row>
    <row r="91" spans="1:8" x14ac:dyDescent="0.25">
      <c r="A91" t="s">
        <v>273</v>
      </c>
      <c r="C91">
        <v>4.5999999999999996</v>
      </c>
      <c r="D91">
        <v>1.2E-2</v>
      </c>
      <c r="E91">
        <v>59</v>
      </c>
      <c r="F91" s="23">
        <v>73</v>
      </c>
      <c r="G91" s="24">
        <v>100</v>
      </c>
      <c r="H91" s="24">
        <v>1.2E-2</v>
      </c>
    </row>
    <row r="92" spans="1:8" x14ac:dyDescent="0.25">
      <c r="A92" t="s">
        <v>274</v>
      </c>
      <c r="C92">
        <v>310</v>
      </c>
      <c r="D92">
        <v>4.3</v>
      </c>
      <c r="E92">
        <v>1700</v>
      </c>
      <c r="F92" s="23">
        <v>2000</v>
      </c>
      <c r="G92" s="24">
        <v>2800</v>
      </c>
      <c r="H92" s="24">
        <v>4.3</v>
      </c>
    </row>
    <row r="93" spans="1:8" x14ac:dyDescent="0.25">
      <c r="A93" t="s">
        <v>275</v>
      </c>
      <c r="C93">
        <v>100</v>
      </c>
      <c r="D93">
        <v>9.3000000000000007</v>
      </c>
      <c r="E93">
        <v>500</v>
      </c>
      <c r="F93" s="23">
        <v>610</v>
      </c>
      <c r="G93" s="24">
        <v>820</v>
      </c>
      <c r="H93" s="24">
        <v>9.3000000000000007</v>
      </c>
    </row>
    <row r="94" spans="1:8" x14ac:dyDescent="0.25">
      <c r="A94" t="s">
        <v>276</v>
      </c>
      <c r="C94">
        <v>2.2999999999999998</v>
      </c>
      <c r="D94">
        <v>0.61</v>
      </c>
      <c r="E94">
        <v>20</v>
      </c>
      <c r="F94" s="23">
        <v>25</v>
      </c>
      <c r="G94" s="24">
        <v>33</v>
      </c>
      <c r="H94" s="24">
        <v>0.61</v>
      </c>
    </row>
    <row r="95" spans="1:8" x14ac:dyDescent="0.25">
      <c r="A95" t="s">
        <v>277</v>
      </c>
      <c r="C95">
        <v>21000</v>
      </c>
      <c r="D95">
        <v>72</v>
      </c>
      <c r="E95">
        <v>1400</v>
      </c>
      <c r="F95" s="23">
        <v>1400</v>
      </c>
      <c r="G95" s="24">
        <v>1400</v>
      </c>
      <c r="H95" s="24">
        <v>72</v>
      </c>
    </row>
    <row r="96" spans="1:8" x14ac:dyDescent="0.25">
      <c r="A96" t="s">
        <v>278</v>
      </c>
      <c r="C96">
        <v>15</v>
      </c>
      <c r="D96">
        <v>0.13</v>
      </c>
      <c r="E96">
        <v>35</v>
      </c>
      <c r="F96" s="23">
        <v>49</v>
      </c>
      <c r="G96" s="24">
        <v>72</v>
      </c>
      <c r="H96" s="24">
        <v>0.13</v>
      </c>
    </row>
    <row r="97" spans="1:8" x14ac:dyDescent="0.25">
      <c r="A97" t="s">
        <v>279</v>
      </c>
      <c r="C97">
        <v>40000</v>
      </c>
      <c r="D97">
        <v>110</v>
      </c>
      <c r="E97">
        <v>100000</v>
      </c>
      <c r="F97" s="23">
        <v>100000</v>
      </c>
      <c r="G97" s="24">
        <v>100000</v>
      </c>
      <c r="H97" s="24">
        <v>110</v>
      </c>
    </row>
    <row r="98" spans="1:8" x14ac:dyDescent="0.25">
      <c r="A98" t="s">
        <v>280</v>
      </c>
      <c r="C98">
        <v>260</v>
      </c>
      <c r="D98">
        <v>590</v>
      </c>
      <c r="E98">
        <v>2500</v>
      </c>
      <c r="F98" s="23">
        <v>3100</v>
      </c>
      <c r="G98" s="24">
        <v>4200</v>
      </c>
      <c r="H98" s="24">
        <v>590</v>
      </c>
    </row>
    <row r="99" spans="1:8" x14ac:dyDescent="0.25">
      <c r="A99" t="s">
        <v>281</v>
      </c>
      <c r="C99">
        <v>290</v>
      </c>
      <c r="D99">
        <v>36</v>
      </c>
      <c r="E99">
        <v>2500</v>
      </c>
      <c r="F99" s="23">
        <v>3100</v>
      </c>
      <c r="G99" s="24">
        <v>4200</v>
      </c>
      <c r="H99" s="24">
        <v>36</v>
      </c>
    </row>
    <row r="100" spans="1:8" x14ac:dyDescent="0.25">
      <c r="A100" t="s">
        <v>282</v>
      </c>
      <c r="C100">
        <v>4.3</v>
      </c>
      <c r="D100">
        <v>1.0999999999999999E-2</v>
      </c>
      <c r="E100">
        <v>210</v>
      </c>
      <c r="F100" s="23">
        <v>290</v>
      </c>
      <c r="G100" s="24">
        <v>430</v>
      </c>
      <c r="H100" s="24">
        <v>1.0999999999999999E-2</v>
      </c>
    </row>
    <row r="101" spans="1:8" x14ac:dyDescent="0.25">
      <c r="A101" t="s">
        <v>283</v>
      </c>
      <c r="C101">
        <v>1.4E-2</v>
      </c>
      <c r="D101">
        <v>7.6E-3</v>
      </c>
      <c r="E101">
        <v>1.3</v>
      </c>
      <c r="F101" s="23">
        <v>1.6</v>
      </c>
      <c r="G101" s="24">
        <v>2.2000000000000002</v>
      </c>
      <c r="H101" s="24">
        <v>7.6E-3</v>
      </c>
    </row>
    <row r="102" spans="1:8" x14ac:dyDescent="0.25">
      <c r="A102" t="s">
        <v>284</v>
      </c>
      <c r="C102">
        <v>1.4E-2</v>
      </c>
      <c r="D102">
        <v>1.9E-3</v>
      </c>
      <c r="E102">
        <v>0.69</v>
      </c>
      <c r="F102" s="23">
        <v>0.86</v>
      </c>
      <c r="G102" s="24">
        <v>1.2</v>
      </c>
      <c r="H102" s="24">
        <v>1.9E-3</v>
      </c>
    </row>
    <row r="103" spans="1:8" x14ac:dyDescent="0.25">
      <c r="A103" t="s">
        <v>285</v>
      </c>
      <c r="C103">
        <v>9.8000000000000004E-2</v>
      </c>
      <c r="D103">
        <v>8.2000000000000007E-3</v>
      </c>
      <c r="E103">
        <v>1.5</v>
      </c>
      <c r="F103" s="23">
        <v>2</v>
      </c>
      <c r="G103" s="24">
        <v>2.8</v>
      </c>
      <c r="H103" s="24">
        <v>8.2000000000000007E-3</v>
      </c>
    </row>
    <row r="104" spans="1:8" x14ac:dyDescent="0.25">
      <c r="A104" t="s">
        <v>286</v>
      </c>
      <c r="C104">
        <v>1.4</v>
      </c>
      <c r="D104">
        <v>0.02</v>
      </c>
      <c r="E104">
        <v>3.3</v>
      </c>
      <c r="F104" s="23">
        <v>3.3</v>
      </c>
      <c r="G104" s="24">
        <v>3.3</v>
      </c>
      <c r="H104" s="24">
        <v>0.02</v>
      </c>
    </row>
    <row r="105" spans="1:8" x14ac:dyDescent="0.25">
      <c r="A105" t="s">
        <v>287</v>
      </c>
      <c r="C105">
        <v>7.1999999999999995E-2</v>
      </c>
      <c r="D105">
        <v>2.8999999999999998E-3</v>
      </c>
      <c r="E105">
        <v>0.91</v>
      </c>
      <c r="F105" s="23">
        <v>1.1000000000000001</v>
      </c>
      <c r="G105" s="24">
        <v>1.5</v>
      </c>
      <c r="H105" s="24">
        <v>2.8999999999999998E-3</v>
      </c>
    </row>
    <row r="106" spans="1:8" x14ac:dyDescent="0.25">
      <c r="A106" t="s">
        <v>288</v>
      </c>
      <c r="C106">
        <v>0.25</v>
      </c>
      <c r="D106">
        <v>0.01</v>
      </c>
      <c r="E106">
        <v>3.2</v>
      </c>
      <c r="F106" s="23">
        <v>3.9</v>
      </c>
      <c r="G106" s="24">
        <v>5.3</v>
      </c>
      <c r="H106" s="24">
        <v>0.01</v>
      </c>
    </row>
    <row r="107" spans="1:8" x14ac:dyDescent="0.25">
      <c r="A107" t="s">
        <v>289</v>
      </c>
      <c r="C107">
        <v>0.42</v>
      </c>
      <c r="D107">
        <v>1.6E-2</v>
      </c>
      <c r="E107">
        <v>6</v>
      </c>
      <c r="F107" s="23">
        <v>7.4</v>
      </c>
      <c r="G107" s="24">
        <v>9.9</v>
      </c>
      <c r="H107" s="24">
        <v>1.6E-2</v>
      </c>
    </row>
    <row r="108" spans="1:8" x14ac:dyDescent="0.25">
      <c r="A108" t="s">
        <v>290</v>
      </c>
      <c r="C108">
        <v>0.41</v>
      </c>
      <c r="D108">
        <v>9.2999999999999992E-3</v>
      </c>
      <c r="E108">
        <v>1</v>
      </c>
      <c r="F108" s="23">
        <v>1.4</v>
      </c>
      <c r="G108" s="24">
        <v>2</v>
      </c>
      <c r="H108" s="24">
        <v>9.2999999999999992E-3</v>
      </c>
    </row>
    <row r="109" spans="1:8" x14ac:dyDescent="0.25">
      <c r="A109" t="s">
        <v>291</v>
      </c>
      <c r="C109">
        <v>3.3</v>
      </c>
      <c r="D109">
        <v>1.7999999999999999E-2</v>
      </c>
      <c r="E109">
        <v>12</v>
      </c>
      <c r="F109" s="23">
        <v>17</v>
      </c>
      <c r="G109" s="24">
        <v>24</v>
      </c>
      <c r="H109" s="24">
        <v>1.7999999999999999E-2</v>
      </c>
    </row>
    <row r="110" spans="1:8" x14ac:dyDescent="0.25">
      <c r="A110" t="s">
        <v>292</v>
      </c>
      <c r="C110">
        <v>7</v>
      </c>
      <c r="D110">
        <v>2.7E-2</v>
      </c>
      <c r="E110">
        <v>64</v>
      </c>
      <c r="F110" s="23">
        <v>79</v>
      </c>
      <c r="G110" s="24">
        <v>110</v>
      </c>
      <c r="H110" s="24">
        <v>2.7E-2</v>
      </c>
    </row>
    <row r="111" spans="1:8" x14ac:dyDescent="0.25">
      <c r="A111" t="s">
        <v>293</v>
      </c>
      <c r="C111">
        <v>1500</v>
      </c>
      <c r="D111">
        <v>130</v>
      </c>
      <c r="E111">
        <v>130</v>
      </c>
      <c r="F111" s="23">
        <v>130</v>
      </c>
      <c r="G111" s="24">
        <v>130</v>
      </c>
      <c r="H111" s="24">
        <v>130</v>
      </c>
    </row>
    <row r="112" spans="1:8" x14ac:dyDescent="0.25">
      <c r="A112" t="s">
        <v>294</v>
      </c>
      <c r="C112">
        <v>38</v>
      </c>
      <c r="D112">
        <v>0.11</v>
      </c>
      <c r="E112">
        <v>210</v>
      </c>
      <c r="F112" s="23">
        <v>270</v>
      </c>
      <c r="G112" s="24">
        <v>380</v>
      </c>
      <c r="H112" s="24">
        <v>0.11</v>
      </c>
    </row>
    <row r="113" spans="1:8" x14ac:dyDescent="0.25">
      <c r="A113" t="s">
        <v>295</v>
      </c>
      <c r="C113">
        <v>1.0999999999999999E-2</v>
      </c>
      <c r="D113">
        <v>2.9E-5</v>
      </c>
      <c r="E113">
        <v>0.4</v>
      </c>
      <c r="F113" s="23">
        <v>0.55000000000000004</v>
      </c>
      <c r="G113" s="24">
        <v>0.79</v>
      </c>
      <c r="H113" s="24">
        <v>2.9E-5</v>
      </c>
    </row>
    <row r="114" spans="1:8" x14ac:dyDescent="0.25">
      <c r="A114" t="s">
        <v>296</v>
      </c>
      <c r="C114">
        <v>0.19</v>
      </c>
      <c r="D114">
        <v>8.8000000000000007</v>
      </c>
      <c r="E114">
        <v>1.7</v>
      </c>
      <c r="F114" s="23">
        <v>2</v>
      </c>
      <c r="G114" s="24">
        <v>2.8</v>
      </c>
      <c r="H114" s="24">
        <v>8.8000000000000007</v>
      </c>
    </row>
    <row r="115" spans="1:8" x14ac:dyDescent="0.25">
      <c r="A115" t="s">
        <v>297</v>
      </c>
      <c r="C115">
        <v>780</v>
      </c>
      <c r="D115">
        <v>2.7</v>
      </c>
      <c r="E115">
        <v>6100</v>
      </c>
      <c r="F115" s="23">
        <v>7400</v>
      </c>
      <c r="G115" s="24">
        <v>10000</v>
      </c>
      <c r="H115" s="24">
        <v>2.7</v>
      </c>
    </row>
    <row r="116" spans="1:8" x14ac:dyDescent="0.25">
      <c r="A116" t="s">
        <v>298</v>
      </c>
      <c r="C116">
        <v>410</v>
      </c>
      <c r="D116">
        <v>1.1000000000000001</v>
      </c>
      <c r="E116">
        <v>6800</v>
      </c>
      <c r="F116" s="23">
        <v>9500</v>
      </c>
      <c r="G116" s="24">
        <v>14000</v>
      </c>
      <c r="H116" s="24">
        <v>1.1000000000000001</v>
      </c>
    </row>
    <row r="117" spans="1:8" x14ac:dyDescent="0.25">
      <c r="A117" t="s">
        <v>299</v>
      </c>
      <c r="C117">
        <v>15</v>
      </c>
      <c r="D117" t="s">
        <v>368</v>
      </c>
      <c r="E117">
        <v>400</v>
      </c>
      <c r="F117" s="23">
        <v>400</v>
      </c>
      <c r="G117" s="24">
        <v>400</v>
      </c>
      <c r="H117" s="24">
        <v>800</v>
      </c>
    </row>
    <row r="118" spans="1:8" x14ac:dyDescent="0.25">
      <c r="A118" t="s">
        <v>300</v>
      </c>
      <c r="C118">
        <v>5.7</v>
      </c>
      <c r="D118">
        <v>3.9</v>
      </c>
      <c r="E118">
        <v>25</v>
      </c>
      <c r="F118" s="23">
        <v>30</v>
      </c>
      <c r="G118" s="24">
        <v>41</v>
      </c>
      <c r="H118" s="24">
        <v>3.9</v>
      </c>
    </row>
    <row r="119" spans="1:8" x14ac:dyDescent="0.25">
      <c r="A119" t="s">
        <v>301</v>
      </c>
      <c r="C119">
        <v>0.52</v>
      </c>
      <c r="D119">
        <v>0.36</v>
      </c>
      <c r="E119">
        <v>3.1</v>
      </c>
      <c r="F119" s="23">
        <v>3.1</v>
      </c>
      <c r="G119" s="24">
        <v>3.1</v>
      </c>
      <c r="H119" s="24">
        <v>0.36</v>
      </c>
    </row>
    <row r="120" spans="1:8" x14ac:dyDescent="0.25">
      <c r="A120" t="s">
        <v>302</v>
      </c>
      <c r="C120">
        <v>20000</v>
      </c>
      <c r="D120">
        <v>54</v>
      </c>
      <c r="E120">
        <v>100000</v>
      </c>
      <c r="F120" s="23">
        <v>100000</v>
      </c>
      <c r="G120" s="24">
        <v>100000</v>
      </c>
      <c r="H120" s="24">
        <v>54</v>
      </c>
    </row>
    <row r="121" spans="1:8" x14ac:dyDescent="0.25">
      <c r="A121" t="s">
        <v>303</v>
      </c>
      <c r="C121">
        <v>37</v>
      </c>
      <c r="D121">
        <v>13</v>
      </c>
      <c r="E121">
        <v>340</v>
      </c>
      <c r="F121" s="23">
        <v>410</v>
      </c>
      <c r="G121" s="24">
        <v>550</v>
      </c>
      <c r="H121" s="24">
        <v>13</v>
      </c>
    </row>
    <row r="122" spans="1:8" x14ac:dyDescent="0.25">
      <c r="A122" t="s">
        <v>304</v>
      </c>
      <c r="C122">
        <v>5600</v>
      </c>
      <c r="D122">
        <v>15</v>
      </c>
      <c r="E122">
        <v>23000</v>
      </c>
      <c r="F122" s="23">
        <v>23000</v>
      </c>
      <c r="G122" s="24">
        <v>23000</v>
      </c>
      <c r="H122" s="24">
        <v>15</v>
      </c>
    </row>
    <row r="123" spans="1:8" x14ac:dyDescent="0.25">
      <c r="A123" t="s">
        <v>305</v>
      </c>
      <c r="C123">
        <v>6300</v>
      </c>
      <c r="D123">
        <v>18</v>
      </c>
      <c r="E123">
        <v>2200</v>
      </c>
      <c r="F123" s="23">
        <v>2200</v>
      </c>
      <c r="G123" s="24">
        <v>2200</v>
      </c>
      <c r="H123" s="24">
        <v>18</v>
      </c>
    </row>
    <row r="124" spans="1:8" x14ac:dyDescent="0.25">
      <c r="A124" t="s">
        <v>306</v>
      </c>
      <c r="C124">
        <v>2</v>
      </c>
      <c r="D124">
        <v>180</v>
      </c>
      <c r="E124">
        <v>8.3000000000000007</v>
      </c>
      <c r="F124" s="23">
        <v>10</v>
      </c>
      <c r="G124" s="24">
        <v>14</v>
      </c>
      <c r="H124" s="24">
        <v>180</v>
      </c>
    </row>
    <row r="125" spans="1:8" x14ac:dyDescent="0.25">
      <c r="A125" t="s">
        <v>307</v>
      </c>
      <c r="C125">
        <v>140</v>
      </c>
      <c r="D125">
        <v>0.4</v>
      </c>
      <c r="E125">
        <v>480</v>
      </c>
      <c r="F125" s="23">
        <v>670</v>
      </c>
      <c r="G125" s="24">
        <v>970</v>
      </c>
      <c r="H125" s="24">
        <v>0.4</v>
      </c>
    </row>
    <row r="126" spans="1:8" x14ac:dyDescent="0.25">
      <c r="A126" t="s">
        <v>308</v>
      </c>
      <c r="C126">
        <v>110</v>
      </c>
      <c r="D126">
        <v>0.33</v>
      </c>
      <c r="E126">
        <v>360</v>
      </c>
      <c r="F126" s="23">
        <v>460</v>
      </c>
      <c r="G126" s="24">
        <v>630</v>
      </c>
      <c r="H126" s="24">
        <v>0.33</v>
      </c>
    </row>
    <row r="127" spans="1:8" x14ac:dyDescent="0.25">
      <c r="A127" t="s">
        <v>309</v>
      </c>
      <c r="C127">
        <v>11</v>
      </c>
      <c r="D127">
        <v>0.41</v>
      </c>
      <c r="E127">
        <v>68</v>
      </c>
      <c r="F127" s="23">
        <v>68</v>
      </c>
      <c r="G127" s="24">
        <v>68</v>
      </c>
      <c r="H127" s="24">
        <v>0.41</v>
      </c>
    </row>
    <row r="128" spans="1:8" x14ac:dyDescent="0.25">
      <c r="A128" t="s">
        <v>310</v>
      </c>
      <c r="C128">
        <v>36</v>
      </c>
      <c r="D128">
        <v>1.3</v>
      </c>
      <c r="E128">
        <v>250</v>
      </c>
      <c r="F128" s="23">
        <v>310</v>
      </c>
      <c r="G128" s="24">
        <v>420</v>
      </c>
      <c r="H128" s="24">
        <v>1.3</v>
      </c>
    </row>
    <row r="129" spans="1:8" x14ac:dyDescent="0.25">
      <c r="A129" t="s">
        <v>311</v>
      </c>
      <c r="C129">
        <v>1.7</v>
      </c>
      <c r="D129">
        <v>3.7999999999999999E-2</v>
      </c>
      <c r="E129">
        <v>20</v>
      </c>
      <c r="F129" s="23">
        <v>29</v>
      </c>
      <c r="G129" s="24">
        <v>42</v>
      </c>
      <c r="H129" s="24">
        <v>3.7999999999999999E-2</v>
      </c>
    </row>
    <row r="130" spans="1:8" x14ac:dyDescent="0.25">
      <c r="A130" t="s">
        <v>312</v>
      </c>
      <c r="C130">
        <v>390</v>
      </c>
      <c r="D130">
        <v>340</v>
      </c>
      <c r="E130">
        <v>1700</v>
      </c>
      <c r="F130" s="23">
        <v>2000</v>
      </c>
      <c r="G130" s="24">
        <v>2600</v>
      </c>
      <c r="H130" s="24">
        <v>340</v>
      </c>
    </row>
    <row r="131" spans="1:8" x14ac:dyDescent="0.25">
      <c r="A131" t="s">
        <v>313</v>
      </c>
      <c r="C131">
        <v>1.4</v>
      </c>
      <c r="D131">
        <v>7.9000000000000008E-3</v>
      </c>
      <c r="E131">
        <v>31</v>
      </c>
      <c r="F131" s="23">
        <v>43</v>
      </c>
      <c r="G131" s="24">
        <v>63</v>
      </c>
      <c r="H131" s="24">
        <v>7.9000000000000008E-3</v>
      </c>
    </row>
    <row r="132" spans="1:8" x14ac:dyDescent="0.25">
      <c r="A132" t="s">
        <v>314</v>
      </c>
      <c r="C132">
        <v>2</v>
      </c>
      <c r="D132">
        <v>8.2000000000000007E-3</v>
      </c>
      <c r="E132">
        <v>6.7</v>
      </c>
      <c r="F132" s="23">
        <v>8.1999999999999993</v>
      </c>
      <c r="G132" s="24">
        <v>11</v>
      </c>
      <c r="H132" s="24">
        <v>8.2000000000000007E-3</v>
      </c>
    </row>
    <row r="133" spans="1:8" x14ac:dyDescent="0.25">
      <c r="A133" t="s">
        <v>315</v>
      </c>
      <c r="C133">
        <v>2000</v>
      </c>
      <c r="D133">
        <v>5.8</v>
      </c>
      <c r="E133">
        <v>6700</v>
      </c>
      <c r="F133" s="23">
        <v>8200</v>
      </c>
      <c r="G133" s="24">
        <v>11000</v>
      </c>
      <c r="H133" s="24">
        <v>5.8</v>
      </c>
    </row>
    <row r="134" spans="1:8" x14ac:dyDescent="0.25">
      <c r="A134" t="s">
        <v>316</v>
      </c>
      <c r="C134">
        <v>1.1000000000000001E-3</v>
      </c>
      <c r="D134">
        <v>3.3000000000000002E-6</v>
      </c>
      <c r="E134">
        <v>0.02</v>
      </c>
      <c r="F134" s="23">
        <v>2.5999999999999999E-2</v>
      </c>
      <c r="G134" s="24">
        <v>3.5999999999999997E-2</v>
      </c>
      <c r="H134" s="24">
        <v>3.3000000000000002E-6</v>
      </c>
    </row>
    <row r="135" spans="1:8" x14ac:dyDescent="0.25">
      <c r="A135" t="s">
        <v>317</v>
      </c>
      <c r="C135">
        <v>0.11</v>
      </c>
      <c r="D135">
        <v>6.8000000000000005E-4</v>
      </c>
      <c r="E135">
        <v>0.82</v>
      </c>
      <c r="F135" s="23">
        <v>1</v>
      </c>
      <c r="G135" s="24">
        <v>1.4</v>
      </c>
      <c r="H135" s="24">
        <v>6.8000000000000005E-4</v>
      </c>
    </row>
    <row r="136" spans="1:8" x14ac:dyDescent="0.25">
      <c r="A136" t="s">
        <v>318</v>
      </c>
      <c r="C136">
        <v>120</v>
      </c>
      <c r="D136">
        <v>4.5999999999999996</v>
      </c>
      <c r="E136">
        <v>1200</v>
      </c>
      <c r="F136" s="23">
        <v>1400</v>
      </c>
      <c r="G136" s="24">
        <v>1900</v>
      </c>
      <c r="H136" s="24">
        <v>4.5999999999999996</v>
      </c>
    </row>
    <row r="137" spans="1:8" x14ac:dyDescent="0.25">
      <c r="A137" t="s">
        <v>319</v>
      </c>
      <c r="C137">
        <v>1.7</v>
      </c>
      <c r="D137">
        <v>1.2999999999999999E-2</v>
      </c>
      <c r="E137">
        <v>6.7</v>
      </c>
      <c r="F137" s="23">
        <v>8.1999999999999993</v>
      </c>
      <c r="G137" s="24">
        <v>11</v>
      </c>
      <c r="H137" s="24">
        <v>1.2999999999999999E-2</v>
      </c>
    </row>
    <row r="138" spans="1:8" x14ac:dyDescent="0.25">
      <c r="A138" t="s">
        <v>320</v>
      </c>
      <c r="C138">
        <v>3.1</v>
      </c>
      <c r="D138">
        <v>2.4E-2</v>
      </c>
      <c r="E138">
        <v>34</v>
      </c>
      <c r="F138" s="23">
        <v>41</v>
      </c>
      <c r="G138" s="24">
        <v>55</v>
      </c>
      <c r="H138" s="24">
        <v>2.4E-2</v>
      </c>
    </row>
    <row r="139" spans="1:8" x14ac:dyDescent="0.25">
      <c r="A139" t="s">
        <v>321</v>
      </c>
      <c r="C139">
        <v>43</v>
      </c>
      <c r="D139">
        <v>0.32</v>
      </c>
      <c r="E139">
        <v>270</v>
      </c>
      <c r="F139" s="23">
        <v>330</v>
      </c>
      <c r="G139" s="24">
        <v>440</v>
      </c>
      <c r="H139" s="24">
        <v>0.32</v>
      </c>
    </row>
    <row r="140" spans="1:8" x14ac:dyDescent="0.25">
      <c r="A140" t="s">
        <v>322</v>
      </c>
      <c r="C140">
        <v>1000</v>
      </c>
      <c r="D140">
        <v>9.6999999999999993</v>
      </c>
      <c r="E140">
        <v>4100</v>
      </c>
      <c r="F140" s="23">
        <v>5000</v>
      </c>
      <c r="G140" s="24">
        <v>6700</v>
      </c>
      <c r="H140" s="24">
        <v>9.6999999999999993</v>
      </c>
    </row>
    <row r="141" spans="1:8" x14ac:dyDescent="0.25">
      <c r="A141" t="s">
        <v>323</v>
      </c>
      <c r="C141">
        <v>22</v>
      </c>
      <c r="D141">
        <v>370</v>
      </c>
      <c r="E141">
        <v>670</v>
      </c>
      <c r="F141" s="23">
        <v>820</v>
      </c>
      <c r="G141" s="24">
        <v>1100</v>
      </c>
      <c r="H141" s="24">
        <v>370</v>
      </c>
    </row>
    <row r="142" spans="1:8" x14ac:dyDescent="0.25">
      <c r="A142" t="s">
        <v>324</v>
      </c>
      <c r="C142">
        <v>0.41</v>
      </c>
      <c r="D142">
        <v>4.3E-3</v>
      </c>
      <c r="E142">
        <v>11</v>
      </c>
      <c r="F142" s="23">
        <v>13</v>
      </c>
      <c r="G142" s="24">
        <v>18</v>
      </c>
      <c r="H142" s="24">
        <v>4.3E-3</v>
      </c>
    </row>
    <row r="143" spans="1:8" x14ac:dyDescent="0.25">
      <c r="A143" t="s">
        <v>325</v>
      </c>
      <c r="C143">
        <v>39</v>
      </c>
      <c r="D143">
        <v>0.43</v>
      </c>
      <c r="E143">
        <v>130</v>
      </c>
      <c r="F143" s="23">
        <v>160</v>
      </c>
      <c r="G143" s="24">
        <v>220</v>
      </c>
      <c r="H143" s="24">
        <v>0.43</v>
      </c>
    </row>
    <row r="144" spans="1:8" x14ac:dyDescent="0.25">
      <c r="A144" t="s">
        <v>326</v>
      </c>
      <c r="C144">
        <v>0.4</v>
      </c>
      <c r="D144">
        <v>3.0000000000000001E-3</v>
      </c>
      <c r="E144">
        <v>1.3</v>
      </c>
      <c r="F144" s="23">
        <v>1.6</v>
      </c>
      <c r="G144" s="24">
        <v>2.2000000000000002</v>
      </c>
      <c r="H144" s="24">
        <v>3.0000000000000001E-3</v>
      </c>
    </row>
    <row r="145" spans="1:8" x14ac:dyDescent="0.25">
      <c r="A145" t="s">
        <v>327</v>
      </c>
      <c r="C145">
        <v>0.4</v>
      </c>
      <c r="D145">
        <v>1.6999999999999999E-3</v>
      </c>
      <c r="E145">
        <v>1.3</v>
      </c>
      <c r="F145" s="23">
        <v>1.6</v>
      </c>
      <c r="G145" s="24">
        <v>2.2000000000000002</v>
      </c>
      <c r="H145" s="24">
        <v>1.6999999999999999E-3</v>
      </c>
    </row>
    <row r="146" spans="1:8" x14ac:dyDescent="0.25">
      <c r="A146" t="s">
        <v>328</v>
      </c>
      <c r="C146">
        <v>170</v>
      </c>
      <c r="D146">
        <v>39</v>
      </c>
      <c r="E146">
        <v>1900</v>
      </c>
      <c r="F146" s="23">
        <v>2300</v>
      </c>
      <c r="G146" s="24">
        <v>3100</v>
      </c>
      <c r="H146" s="24">
        <v>39</v>
      </c>
    </row>
    <row r="147" spans="1:8" x14ac:dyDescent="0.25">
      <c r="A147" t="s">
        <v>329</v>
      </c>
      <c r="C147">
        <v>5800</v>
      </c>
      <c r="D147">
        <v>29</v>
      </c>
      <c r="E147">
        <v>20000</v>
      </c>
      <c r="F147" s="23">
        <v>25000</v>
      </c>
      <c r="G147" s="24">
        <v>33000</v>
      </c>
      <c r="H147" s="24">
        <v>29</v>
      </c>
    </row>
    <row r="148" spans="1:8" x14ac:dyDescent="0.25">
      <c r="A148" t="s">
        <v>330</v>
      </c>
      <c r="C148">
        <v>0.4</v>
      </c>
      <c r="D148">
        <v>0.02</v>
      </c>
      <c r="E148">
        <v>1.7</v>
      </c>
      <c r="F148" s="23">
        <v>2</v>
      </c>
      <c r="G148" s="24">
        <v>2.7</v>
      </c>
      <c r="H148" s="24">
        <v>0.02</v>
      </c>
    </row>
    <row r="149" spans="1:8" x14ac:dyDescent="0.25">
      <c r="A149" t="s">
        <v>331</v>
      </c>
      <c r="C149">
        <v>0.5</v>
      </c>
      <c r="D149" t="s">
        <v>368</v>
      </c>
      <c r="E149">
        <v>1</v>
      </c>
      <c r="F149" s="23">
        <v>1</v>
      </c>
      <c r="G149" s="24">
        <v>1</v>
      </c>
      <c r="H149" s="24">
        <v>1</v>
      </c>
    </row>
    <row r="150" spans="1:8" x14ac:dyDescent="0.25">
      <c r="A150" t="s">
        <v>332</v>
      </c>
      <c r="C150">
        <v>660</v>
      </c>
      <c r="D150">
        <v>9.1</v>
      </c>
      <c r="E150">
        <v>52</v>
      </c>
      <c r="F150" s="23">
        <v>52</v>
      </c>
      <c r="G150" s="24">
        <v>52</v>
      </c>
      <c r="H150" s="24">
        <v>9.1</v>
      </c>
    </row>
    <row r="151" spans="1:8" x14ac:dyDescent="0.25">
      <c r="A151" t="s">
        <v>333</v>
      </c>
      <c r="C151">
        <v>120</v>
      </c>
      <c r="D151">
        <v>87</v>
      </c>
      <c r="E151">
        <v>1900</v>
      </c>
      <c r="F151" s="23">
        <v>2300</v>
      </c>
      <c r="G151" s="24">
        <v>3100</v>
      </c>
      <c r="H151" s="24">
        <v>87</v>
      </c>
    </row>
    <row r="152" spans="1:8" x14ac:dyDescent="0.25">
      <c r="A152" t="s">
        <v>334</v>
      </c>
      <c r="C152">
        <v>100</v>
      </c>
      <c r="D152">
        <v>6.9</v>
      </c>
      <c r="E152">
        <v>410</v>
      </c>
      <c r="F152" s="23">
        <v>510</v>
      </c>
      <c r="G152" s="24">
        <v>680</v>
      </c>
      <c r="H152" s="24">
        <v>6.9</v>
      </c>
    </row>
    <row r="153" spans="1:8" x14ac:dyDescent="0.25">
      <c r="A153" t="s">
        <v>335</v>
      </c>
      <c r="C153">
        <v>94</v>
      </c>
      <c r="D153">
        <v>11</v>
      </c>
      <c r="E153">
        <v>410</v>
      </c>
      <c r="F153" s="23">
        <v>510</v>
      </c>
      <c r="G153" s="24">
        <v>680</v>
      </c>
      <c r="H153" s="24">
        <v>11</v>
      </c>
    </row>
    <row r="154" spans="1:8" x14ac:dyDescent="0.25">
      <c r="A154" t="s">
        <v>336</v>
      </c>
      <c r="C154">
        <v>1200</v>
      </c>
      <c r="D154">
        <v>10</v>
      </c>
      <c r="E154">
        <v>180</v>
      </c>
      <c r="F154" s="23">
        <v>180</v>
      </c>
      <c r="G154" s="24">
        <v>180</v>
      </c>
      <c r="H154" s="24">
        <v>10</v>
      </c>
    </row>
    <row r="155" spans="1:8" x14ac:dyDescent="0.25">
      <c r="A155" t="s">
        <v>337</v>
      </c>
      <c r="C155">
        <v>1.1999999999999999E-6</v>
      </c>
      <c r="D155">
        <v>3.8999999999999999E-6</v>
      </c>
      <c r="E155">
        <v>4.8999999999999998E-5</v>
      </c>
      <c r="F155" s="23">
        <v>6.0000000000000002E-5</v>
      </c>
      <c r="G155" s="24">
        <v>8.2000000000000001E-5</v>
      </c>
      <c r="H155" s="24">
        <v>3.8999999999999999E-6</v>
      </c>
    </row>
    <row r="156" spans="1:8" x14ac:dyDescent="0.25">
      <c r="A156" t="s">
        <v>338</v>
      </c>
      <c r="C156">
        <v>5.7</v>
      </c>
      <c r="D156">
        <v>2.1999999999999999E-2</v>
      </c>
      <c r="E156">
        <v>15</v>
      </c>
      <c r="F156" s="23">
        <v>21</v>
      </c>
      <c r="G156" s="24">
        <v>30</v>
      </c>
      <c r="H156" s="24">
        <v>2.1999999999999999E-2</v>
      </c>
    </row>
    <row r="157" spans="1:8" x14ac:dyDescent="0.25">
      <c r="A157" t="s">
        <v>339</v>
      </c>
      <c r="C157">
        <v>0.76</v>
      </c>
      <c r="D157">
        <v>3.0000000000000001E-3</v>
      </c>
      <c r="E157">
        <v>4.4000000000000004</v>
      </c>
      <c r="F157" s="23">
        <v>6.1</v>
      </c>
      <c r="G157" s="24">
        <v>8.8000000000000007</v>
      </c>
      <c r="H157" s="24">
        <v>3.0000000000000001E-3</v>
      </c>
    </row>
    <row r="158" spans="1:8" x14ac:dyDescent="0.25">
      <c r="A158" t="s">
        <v>340</v>
      </c>
      <c r="C158">
        <v>41</v>
      </c>
      <c r="D158">
        <v>0.19</v>
      </c>
      <c r="E158">
        <v>68</v>
      </c>
      <c r="F158" s="23">
        <v>68</v>
      </c>
      <c r="G158" s="24">
        <v>68</v>
      </c>
      <c r="H158" s="24">
        <v>0.19</v>
      </c>
    </row>
    <row r="159" spans="1:8" x14ac:dyDescent="0.25">
      <c r="A159" t="s">
        <v>341</v>
      </c>
      <c r="C159">
        <v>39</v>
      </c>
      <c r="D159">
        <v>2.5</v>
      </c>
      <c r="E159">
        <v>170</v>
      </c>
      <c r="F159" s="23">
        <v>200</v>
      </c>
      <c r="G159" s="24">
        <v>270</v>
      </c>
      <c r="H159" s="24">
        <v>2.5</v>
      </c>
    </row>
    <row r="160" spans="1:8" x14ac:dyDescent="0.25">
      <c r="A160" t="s">
        <v>342</v>
      </c>
      <c r="C160">
        <v>0.2</v>
      </c>
      <c r="D160">
        <v>0.19</v>
      </c>
      <c r="E160">
        <v>0.83</v>
      </c>
      <c r="F160" s="23">
        <v>1</v>
      </c>
      <c r="G160" s="24">
        <v>1.4</v>
      </c>
      <c r="H160" s="24">
        <v>0.19</v>
      </c>
    </row>
    <row r="161" spans="1:8" x14ac:dyDescent="0.25">
      <c r="A161" t="s">
        <v>343</v>
      </c>
      <c r="C161">
        <v>1100</v>
      </c>
      <c r="D161">
        <v>6.7</v>
      </c>
      <c r="E161">
        <v>200</v>
      </c>
      <c r="F161" s="23">
        <v>200</v>
      </c>
      <c r="G161" s="24">
        <v>200</v>
      </c>
      <c r="H161" s="24">
        <v>6.7</v>
      </c>
    </row>
    <row r="162" spans="1:8" x14ac:dyDescent="0.25">
      <c r="A162" t="s">
        <v>344</v>
      </c>
      <c r="C162">
        <v>0.71</v>
      </c>
      <c r="D162">
        <v>0.72</v>
      </c>
      <c r="E162">
        <v>5.2</v>
      </c>
      <c r="F162" s="23">
        <v>6.4</v>
      </c>
      <c r="G162" s="24">
        <v>8.6</v>
      </c>
      <c r="H162" s="24">
        <v>0.72</v>
      </c>
    </row>
    <row r="163" spans="1:8" x14ac:dyDescent="0.25">
      <c r="A163" t="s">
        <v>345</v>
      </c>
      <c r="C163">
        <v>55000</v>
      </c>
      <c r="D163">
        <v>1700</v>
      </c>
      <c r="E163">
        <v>740</v>
      </c>
      <c r="F163" s="23">
        <v>740</v>
      </c>
      <c r="G163" s="24">
        <v>740</v>
      </c>
      <c r="H163" s="24">
        <v>1700</v>
      </c>
    </row>
    <row r="164" spans="1:8" x14ac:dyDescent="0.25">
      <c r="A164" t="s">
        <v>346</v>
      </c>
      <c r="C164">
        <v>7</v>
      </c>
      <c r="D164">
        <v>0.15</v>
      </c>
      <c r="E164">
        <v>66</v>
      </c>
      <c r="F164" s="23">
        <v>81</v>
      </c>
      <c r="G164" s="24">
        <v>110</v>
      </c>
      <c r="H164" s="24">
        <v>0.15</v>
      </c>
    </row>
    <row r="165" spans="1:8" x14ac:dyDescent="0.25">
      <c r="A165" t="s">
        <v>347</v>
      </c>
      <c r="C165">
        <v>4</v>
      </c>
      <c r="D165">
        <v>8.2000000000000003E-2</v>
      </c>
      <c r="E165">
        <v>32</v>
      </c>
      <c r="F165" s="23">
        <v>45</v>
      </c>
      <c r="G165" s="24">
        <v>65</v>
      </c>
      <c r="H165" s="24">
        <v>8.2000000000000003E-2</v>
      </c>
    </row>
    <row r="166" spans="1:8" x14ac:dyDescent="0.25">
      <c r="A166" t="s">
        <v>348</v>
      </c>
      <c r="C166">
        <v>8000</v>
      </c>
      <c r="D166">
        <v>32</v>
      </c>
      <c r="E166">
        <v>360</v>
      </c>
      <c r="F166" s="23">
        <v>360</v>
      </c>
      <c r="G166" s="24">
        <v>360</v>
      </c>
      <c r="H166" s="24">
        <v>32</v>
      </c>
    </row>
    <row r="167" spans="1:8" x14ac:dyDescent="0.25">
      <c r="A167" t="s">
        <v>349</v>
      </c>
      <c r="C167">
        <v>0.41</v>
      </c>
      <c r="D167">
        <v>1.4E-3</v>
      </c>
      <c r="E167">
        <v>1.2</v>
      </c>
      <c r="F167" s="23">
        <v>1.6</v>
      </c>
      <c r="G167" s="24">
        <v>2.2999999999999998</v>
      </c>
      <c r="H167" s="24">
        <v>1.4E-3</v>
      </c>
    </row>
    <row r="168" spans="1:8" x14ac:dyDescent="0.25">
      <c r="A168" t="s">
        <v>350</v>
      </c>
      <c r="C168">
        <v>2.8</v>
      </c>
      <c r="D168">
        <v>1.0999999999999999E-2</v>
      </c>
      <c r="E168">
        <v>3.5</v>
      </c>
      <c r="F168" s="23">
        <v>4.9000000000000004</v>
      </c>
      <c r="G168" s="24">
        <v>7.1</v>
      </c>
      <c r="H168" s="24">
        <v>1.0999999999999999E-2</v>
      </c>
    </row>
    <row r="169" spans="1:8" x14ac:dyDescent="0.25">
      <c r="A169" t="s">
        <v>351</v>
      </c>
      <c r="C169">
        <v>5200</v>
      </c>
      <c r="D169">
        <v>41</v>
      </c>
      <c r="E169">
        <v>980</v>
      </c>
      <c r="F169" s="23">
        <v>980</v>
      </c>
      <c r="G169" s="24">
        <v>980</v>
      </c>
      <c r="H169" s="24">
        <v>41</v>
      </c>
    </row>
    <row r="170" spans="1:8" x14ac:dyDescent="0.25">
      <c r="A170" t="s">
        <v>352</v>
      </c>
      <c r="C170">
        <v>1200</v>
      </c>
      <c r="D170">
        <v>28</v>
      </c>
      <c r="E170">
        <v>6700</v>
      </c>
      <c r="F170" s="23">
        <v>8200</v>
      </c>
      <c r="G170" s="24">
        <v>11000</v>
      </c>
      <c r="H170" s="24">
        <v>28</v>
      </c>
    </row>
    <row r="171" spans="1:8" x14ac:dyDescent="0.25">
      <c r="A171" t="s">
        <v>353</v>
      </c>
      <c r="C171">
        <v>12</v>
      </c>
      <c r="D171">
        <v>9.1999999999999998E-2</v>
      </c>
      <c r="E171">
        <v>67</v>
      </c>
      <c r="F171" s="23">
        <v>82</v>
      </c>
      <c r="G171" s="24">
        <v>110</v>
      </c>
      <c r="H171" s="24">
        <v>9.1999999999999998E-2</v>
      </c>
    </row>
    <row r="172" spans="1:8" x14ac:dyDescent="0.25">
      <c r="A172" t="s">
        <v>354</v>
      </c>
      <c r="C172">
        <v>160</v>
      </c>
      <c r="D172">
        <v>0.66</v>
      </c>
      <c r="E172">
        <v>670</v>
      </c>
      <c r="F172" s="23">
        <v>820</v>
      </c>
      <c r="G172" s="24">
        <v>1100</v>
      </c>
      <c r="H172" s="24">
        <v>0.66</v>
      </c>
    </row>
    <row r="173" spans="1:8" x14ac:dyDescent="0.25">
      <c r="A173" t="s">
        <v>355</v>
      </c>
      <c r="C173">
        <v>110</v>
      </c>
      <c r="D173">
        <v>0.55000000000000004</v>
      </c>
      <c r="E173">
        <v>540</v>
      </c>
      <c r="F173" s="23">
        <v>660</v>
      </c>
      <c r="G173" s="24">
        <v>880</v>
      </c>
      <c r="H173" s="24">
        <v>0.55000000000000004</v>
      </c>
    </row>
    <row r="174" spans="1:8" x14ac:dyDescent="0.25">
      <c r="A174" t="s">
        <v>356</v>
      </c>
      <c r="C174">
        <v>7.4999999999999997E-3</v>
      </c>
      <c r="D174">
        <v>3.1000000000000001E-5</v>
      </c>
      <c r="E174">
        <v>5.3999999999999999E-2</v>
      </c>
      <c r="F174" s="23">
        <v>6.6000000000000003E-2</v>
      </c>
      <c r="G174" s="24">
        <v>8.8999999999999996E-2</v>
      </c>
      <c r="H174" s="24">
        <v>3.1000000000000001E-5</v>
      </c>
    </row>
    <row r="175" spans="1:8" x14ac:dyDescent="0.25">
      <c r="A175" t="s">
        <v>357</v>
      </c>
      <c r="C175">
        <v>15</v>
      </c>
      <c r="D175">
        <v>0.16</v>
      </c>
      <c r="E175">
        <v>33</v>
      </c>
      <c r="F175" s="23">
        <v>43</v>
      </c>
      <c r="G175" s="24">
        <v>43</v>
      </c>
      <c r="H175" s="24">
        <v>0.16</v>
      </c>
    </row>
    <row r="176" spans="1:8" x14ac:dyDescent="0.25">
      <c r="A176" t="s">
        <v>358</v>
      </c>
      <c r="C176">
        <v>120</v>
      </c>
      <c r="D176">
        <v>1.3</v>
      </c>
      <c r="E176">
        <v>37</v>
      </c>
      <c r="F176" s="23">
        <v>37</v>
      </c>
      <c r="G176" s="24">
        <v>37</v>
      </c>
      <c r="H176" s="24">
        <v>1.3</v>
      </c>
    </row>
    <row r="177" spans="1:8" x14ac:dyDescent="0.25">
      <c r="A177" t="s">
        <v>359</v>
      </c>
      <c r="C177">
        <v>3.7</v>
      </c>
      <c r="D177">
        <v>0.68</v>
      </c>
      <c r="E177">
        <v>25</v>
      </c>
      <c r="F177" s="23">
        <v>30</v>
      </c>
      <c r="G177" s="24">
        <v>41</v>
      </c>
      <c r="H177" s="24">
        <v>0.68</v>
      </c>
    </row>
    <row r="178" spans="1:8" x14ac:dyDescent="0.25">
      <c r="A178" t="s">
        <v>360</v>
      </c>
      <c r="C178">
        <v>590</v>
      </c>
      <c r="D178">
        <v>15</v>
      </c>
      <c r="E178">
        <v>2400</v>
      </c>
      <c r="F178" s="23">
        <v>2900</v>
      </c>
      <c r="G178" s="24">
        <v>3900</v>
      </c>
      <c r="H178" s="24">
        <v>15</v>
      </c>
    </row>
    <row r="179" spans="1:8" x14ac:dyDescent="0.25">
      <c r="A179" t="s">
        <v>361</v>
      </c>
      <c r="C179">
        <v>9.8000000000000007</v>
      </c>
      <c r="D179">
        <v>0.39</v>
      </c>
      <c r="E179">
        <v>39</v>
      </c>
      <c r="F179" s="23">
        <v>47</v>
      </c>
      <c r="G179" s="24">
        <v>64</v>
      </c>
      <c r="H179" s="24">
        <v>0.39</v>
      </c>
    </row>
    <row r="180" spans="1:8" x14ac:dyDescent="0.25">
      <c r="A180" t="s">
        <v>362</v>
      </c>
      <c r="C180">
        <v>86</v>
      </c>
      <c r="D180">
        <v>1100</v>
      </c>
      <c r="E180">
        <v>420</v>
      </c>
      <c r="F180" s="23">
        <v>510</v>
      </c>
      <c r="G180" s="24">
        <v>680</v>
      </c>
      <c r="H180" s="24">
        <v>1100</v>
      </c>
    </row>
    <row r="181" spans="1:8" x14ac:dyDescent="0.25">
      <c r="A181" t="s">
        <v>363</v>
      </c>
      <c r="C181">
        <v>410</v>
      </c>
      <c r="D181">
        <v>1.1000000000000001</v>
      </c>
      <c r="E181">
        <v>1100</v>
      </c>
      <c r="F181" s="23">
        <v>1400</v>
      </c>
      <c r="G181" s="24">
        <v>2100</v>
      </c>
      <c r="H181" s="24">
        <v>1.1000000000000001</v>
      </c>
    </row>
    <row r="182" spans="1:8" x14ac:dyDescent="0.25">
      <c r="A182" t="s">
        <v>364</v>
      </c>
      <c r="C182">
        <v>0.19</v>
      </c>
      <c r="D182">
        <v>8.0000000000000004E-4</v>
      </c>
      <c r="E182">
        <v>0.61</v>
      </c>
      <c r="F182" s="23">
        <v>0.65</v>
      </c>
      <c r="G182" s="24">
        <v>0.69</v>
      </c>
      <c r="H182" s="24">
        <v>8.0000000000000004E-4</v>
      </c>
    </row>
    <row r="183" spans="1:8" x14ac:dyDescent="0.25">
      <c r="A183" t="s">
        <v>365</v>
      </c>
      <c r="C183">
        <v>190</v>
      </c>
      <c r="D183">
        <v>1.5</v>
      </c>
      <c r="E183">
        <v>57</v>
      </c>
      <c r="F183" s="23">
        <v>57</v>
      </c>
      <c r="G183" s="24">
        <v>57</v>
      </c>
      <c r="H183" s="24">
        <v>1.5</v>
      </c>
    </row>
    <row r="184" spans="1:8" x14ac:dyDescent="0.25">
      <c r="A184" t="s">
        <v>366</v>
      </c>
      <c r="C184">
        <v>6000</v>
      </c>
      <c r="D184">
        <v>4900</v>
      </c>
      <c r="E184">
        <v>25000</v>
      </c>
      <c r="F184" s="23">
        <v>30000</v>
      </c>
      <c r="G184" s="24">
        <v>41000</v>
      </c>
      <c r="H184" s="24">
        <v>4900</v>
      </c>
    </row>
    <row r="185" spans="1:8" x14ac:dyDescent="0.25">
      <c r="A185" t="s">
        <v>432</v>
      </c>
      <c r="B185">
        <v>250</v>
      </c>
      <c r="F185" s="23"/>
    </row>
    <row r="186" spans="1:8" x14ac:dyDescent="0.25">
      <c r="A186" t="s">
        <v>434</v>
      </c>
      <c r="B186">
        <v>300</v>
      </c>
    </row>
    <row r="187" spans="1:8" x14ac:dyDescent="0.25">
      <c r="A187" t="s">
        <v>433</v>
      </c>
      <c r="B187">
        <v>1100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raOutput"/>
  <dimension ref="A1:D16"/>
  <sheetViews>
    <sheetView workbookViewId="0">
      <selection activeCell="B27" sqref="B27"/>
    </sheetView>
  </sheetViews>
  <sheetFormatPr defaultRowHeight="15.75" x14ac:dyDescent="0.25"/>
  <cols>
    <col min="1" max="1" width="80.875" customWidth="1"/>
    <col min="2" max="2" width="17.625" customWidth="1"/>
    <col min="3" max="3" width="55.75" customWidth="1"/>
  </cols>
  <sheetData>
    <row r="1" spans="1:4" x14ac:dyDescent="0.25">
      <c r="A1" s="18" t="s">
        <v>464</v>
      </c>
      <c r="B1" s="18" t="s">
        <v>470</v>
      </c>
      <c r="C1" s="18" t="s">
        <v>465</v>
      </c>
      <c r="D1" s="18"/>
    </row>
    <row r="2" spans="1:4" x14ac:dyDescent="0.25">
      <c r="A2" s="18" t="s">
        <v>478</v>
      </c>
      <c r="B2" s="18" t="b">
        <v>0</v>
      </c>
      <c r="C2" s="18" t="s">
        <v>471</v>
      </c>
      <c r="D2" s="18"/>
    </row>
    <row r="3" spans="1:4" x14ac:dyDescent="0.25">
      <c r="A3" s="18" t="s">
        <v>474</v>
      </c>
      <c r="B3" s="18" t="b">
        <v>0</v>
      </c>
      <c r="C3" s="18" t="s">
        <v>472</v>
      </c>
      <c r="D3" s="18"/>
    </row>
    <row r="4" spans="1:4" x14ac:dyDescent="0.25">
      <c r="A4" s="18" t="s">
        <v>475</v>
      </c>
      <c r="B4" s="18" t="b">
        <v>0</v>
      </c>
      <c r="C4" s="18" t="s">
        <v>473</v>
      </c>
      <c r="D4" s="18"/>
    </row>
    <row r="5" spans="1:4" x14ac:dyDescent="0.25">
      <c r="A5" s="18" t="s">
        <v>476</v>
      </c>
      <c r="B5" s="18" t="b">
        <v>0</v>
      </c>
      <c r="C5" s="18" t="s">
        <v>466</v>
      </c>
      <c r="D5" s="18"/>
    </row>
    <row r="6" spans="1:4" x14ac:dyDescent="0.25">
      <c r="A6" s="18" t="s">
        <v>477</v>
      </c>
      <c r="B6" s="18" t="b">
        <v>0</v>
      </c>
      <c r="C6" s="18" t="s">
        <v>467</v>
      </c>
      <c r="D6" s="18"/>
    </row>
    <row r="7" spans="1:4" x14ac:dyDescent="0.25">
      <c r="A7" s="18"/>
      <c r="B7" s="18"/>
      <c r="C7" s="18" t="s">
        <v>468</v>
      </c>
      <c r="D7" s="18"/>
    </row>
    <row r="8" spans="1:4" x14ac:dyDescent="0.25">
      <c r="A8" s="18"/>
      <c r="B8" s="18"/>
      <c r="C8" s="18" t="s">
        <v>469</v>
      </c>
      <c r="D8" s="18"/>
    </row>
    <row r="9" spans="1:4" x14ac:dyDescent="0.25">
      <c r="A9" s="18"/>
      <c r="B9" s="18"/>
      <c r="C9" s="18"/>
      <c r="D9" s="18"/>
    </row>
    <row r="10" spans="1:4" x14ac:dyDescent="0.25">
      <c r="A10" s="18"/>
      <c r="B10" s="18"/>
      <c r="C10" s="18"/>
      <c r="D10" s="18"/>
    </row>
    <row r="11" spans="1:4" x14ac:dyDescent="0.25">
      <c r="A11" s="18"/>
      <c r="B11" s="18"/>
      <c r="C11" s="18"/>
      <c r="D11" s="18"/>
    </row>
    <row r="12" spans="1:4" x14ac:dyDescent="0.25">
      <c r="A12" s="18"/>
      <c r="B12" s="18"/>
      <c r="C12" s="18"/>
      <c r="D12" s="18"/>
    </row>
    <row r="13" spans="1:4" x14ac:dyDescent="0.25">
      <c r="A13" s="18"/>
      <c r="B13" s="18"/>
      <c r="C13" s="18"/>
      <c r="D13" s="18"/>
    </row>
    <row r="14" spans="1:4" x14ac:dyDescent="0.25">
      <c r="A14" s="18"/>
      <c r="B14" s="18"/>
      <c r="C14" s="18"/>
      <c r="D14" s="18"/>
    </row>
    <row r="15" spans="1:4" x14ac:dyDescent="0.25">
      <c r="A15" s="18"/>
      <c r="B15" s="18"/>
      <c r="C15" s="18"/>
      <c r="D15" s="18"/>
    </row>
    <row r="16" spans="1:4" x14ac:dyDescent="0.25">
      <c r="A16" s="18"/>
      <c r="B16" s="18"/>
      <c r="C16" s="18"/>
      <c r="D16" s="18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UnitConverstion"/>
  <dimension ref="A1:C26"/>
  <sheetViews>
    <sheetView workbookViewId="0">
      <selection activeCell="N20" sqref="N20"/>
    </sheetView>
  </sheetViews>
  <sheetFormatPr defaultRowHeight="15.75" x14ac:dyDescent="0.25"/>
  <cols>
    <col min="1" max="1" width="15.75" customWidth="1"/>
    <col min="2" max="2" width="16.25" customWidth="1"/>
    <col min="3" max="3" width="21.375" customWidth="1"/>
  </cols>
  <sheetData>
    <row r="1" spans="1:3" x14ac:dyDescent="0.25">
      <c r="A1" t="s">
        <v>494</v>
      </c>
      <c r="B1" t="s">
        <v>493</v>
      </c>
      <c r="C1" t="s">
        <v>495</v>
      </c>
    </row>
    <row r="2" spans="1:3" s="24" customFormat="1" x14ac:dyDescent="0.25">
      <c r="A2" s="24" t="s">
        <v>486</v>
      </c>
      <c r="B2" s="24" t="s">
        <v>486</v>
      </c>
      <c r="C2" s="24">
        <v>1</v>
      </c>
    </row>
    <row r="3" spans="1:3" x14ac:dyDescent="0.25">
      <c r="A3" t="s">
        <v>486</v>
      </c>
      <c r="B3" t="s">
        <v>496</v>
      </c>
      <c r="C3">
        <v>1000</v>
      </c>
    </row>
    <row r="4" spans="1:3" s="24" customFormat="1" x14ac:dyDescent="0.25">
      <c r="A4" s="24" t="s">
        <v>488</v>
      </c>
      <c r="B4" s="24" t="s">
        <v>488</v>
      </c>
    </row>
    <row r="5" spans="1:3" x14ac:dyDescent="0.25">
      <c r="A5" t="s">
        <v>488</v>
      </c>
      <c r="B5" t="s">
        <v>497</v>
      </c>
      <c r="C5">
        <v>1E-3</v>
      </c>
    </row>
    <row r="6" spans="1:3" x14ac:dyDescent="0.25">
      <c r="A6" s="24"/>
    </row>
    <row r="16" spans="1:3" x14ac:dyDescent="0.25">
      <c r="A16" t="s">
        <v>502</v>
      </c>
      <c r="B16" t="s">
        <v>503</v>
      </c>
      <c r="C16" t="s">
        <v>504</v>
      </c>
    </row>
    <row r="17" spans="1:3" x14ac:dyDescent="0.25">
      <c r="A17" t="s">
        <v>505</v>
      </c>
      <c r="B17" t="s">
        <v>506</v>
      </c>
      <c r="C17" t="s">
        <v>507</v>
      </c>
    </row>
    <row r="18" spans="1:3" s="24" customFormat="1" x14ac:dyDescent="0.25"/>
    <row r="19" spans="1:3" x14ac:dyDescent="0.25">
      <c r="A19" t="s">
        <v>508</v>
      </c>
      <c r="B19" t="s">
        <v>509</v>
      </c>
      <c r="C19" t="s">
        <v>510</v>
      </c>
    </row>
    <row r="20" spans="1:3" x14ac:dyDescent="0.25">
      <c r="A20" s="24"/>
      <c r="B20" s="24"/>
      <c r="C20" t="s">
        <v>513</v>
      </c>
    </row>
    <row r="21" spans="1:3" x14ac:dyDescent="0.25">
      <c r="A21" t="s">
        <v>511</v>
      </c>
      <c r="B21" t="s">
        <v>512</v>
      </c>
    </row>
    <row r="22" spans="1:3" x14ac:dyDescent="0.25">
      <c r="A22" s="24"/>
      <c r="B22" s="24"/>
    </row>
    <row r="23" spans="1:3" x14ac:dyDescent="0.25">
      <c r="A23" s="24"/>
      <c r="B23" s="24"/>
    </row>
    <row r="24" spans="1:3" x14ac:dyDescent="0.25">
      <c r="A24" s="24"/>
      <c r="B24" s="24"/>
    </row>
    <row r="25" spans="1:3" x14ac:dyDescent="0.25">
      <c r="A25" s="24"/>
      <c r="B25" s="24"/>
    </row>
    <row r="26" spans="1:3" x14ac:dyDescent="0.25">
      <c r="A26" s="24"/>
      <c r="B26" s="2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B5"/>
  <sheetViews>
    <sheetView workbookViewId="0">
      <selection activeCell="N30" sqref="N30"/>
    </sheetView>
  </sheetViews>
  <sheetFormatPr defaultRowHeight="15.75" x14ac:dyDescent="0.25"/>
  <sheetData>
    <row r="4" spans="1:2" x14ac:dyDescent="0.25">
      <c r="A4" s="53">
        <v>16.25</v>
      </c>
      <c r="B4" t="s">
        <v>514</v>
      </c>
    </row>
    <row r="5" spans="1:2" x14ac:dyDescent="0.25">
      <c r="A5" s="52">
        <v>24</v>
      </c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Main</vt:lpstr>
      <vt:lpstr>LabDataFormat</vt:lpstr>
      <vt:lpstr>FormatGroups</vt:lpstr>
      <vt:lpstr>OldCombinedTestSheet</vt:lpstr>
      <vt:lpstr>Analyte_Name_Sets</vt:lpstr>
      <vt:lpstr>CAS_AnalyteName</vt:lpstr>
      <vt:lpstr>CAS_ActionLevel</vt:lpstr>
      <vt:lpstr>fraOutput</vt:lpstr>
      <vt:lpstr>UnitConversion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EMI-Consult</dc:creator>
  <cp:lastModifiedBy>EMI-Consult</cp:lastModifiedBy>
  <dcterms:created xsi:type="dcterms:W3CDTF">2017-11-08T23:38:52Z</dcterms:created>
  <dcterms:modified xsi:type="dcterms:W3CDTF">2017-12-15T04:13:04Z</dcterms:modified>
</cp:coreProperties>
</file>